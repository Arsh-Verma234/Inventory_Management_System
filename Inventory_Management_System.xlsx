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cer1\OneDrive\Documents\"/>
    </mc:Choice>
  </mc:AlternateContent>
  <bookViews>
    <workbookView xWindow="0" yWindow="0" windowWidth="23040" windowHeight="9072"/>
  </bookViews>
  <sheets>
    <sheet name="Inventory" sheetId="1" r:id="rId1"/>
    <sheet name="Orders" sheetId="4" r:id="rId2"/>
    <sheet name="Reports" sheetId="6" r:id="rId3"/>
    <sheet name="Transactions" sheetId="3" r:id="rId4"/>
    <sheet name="Products Mastersheet" sheetId="2" r:id="rId5"/>
    <sheet name="New Data" sheetId="5" r:id="rId6"/>
  </sheets>
  <externalReferences>
    <externalReference r:id="rId7"/>
  </externalReferences>
  <definedNames>
    <definedName name="Product_Id">Products[ProductID]</definedName>
    <definedName name="ProductList">[1]!Products[ProductID]</definedName>
    <definedName name="Slicer_Supplier">#N/A</definedName>
  </definedNames>
  <calcPr calcId="162913"/>
  <pivotCaches>
    <pivotCache cacheId="44"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 i="1" l="1"/>
  <c r="D7" i="1" l="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F7" i="1"/>
  <c r="F8" i="1"/>
  <c r="I8" i="1" s="1"/>
  <c r="F9" i="1"/>
  <c r="F10" i="1"/>
  <c r="F11" i="1"/>
  <c r="F12" i="1"/>
  <c r="F13" i="1"/>
  <c r="F14" i="1"/>
  <c r="I14" i="1" s="1"/>
  <c r="F15" i="1"/>
  <c r="I15" i="1" s="1"/>
  <c r="F16" i="1"/>
  <c r="F17" i="1"/>
  <c r="F18" i="1"/>
  <c r="F19" i="1"/>
  <c r="F20" i="1"/>
  <c r="I20" i="1" s="1"/>
  <c r="F21" i="1"/>
  <c r="F22" i="1"/>
  <c r="F23" i="1"/>
  <c r="F24" i="1"/>
  <c r="F25" i="1"/>
  <c r="F26" i="1"/>
  <c r="I26" i="1" s="1"/>
  <c r="F27" i="1"/>
  <c r="I27" i="1" s="1"/>
  <c r="F28" i="1"/>
  <c r="F29" i="1"/>
  <c r="F30" i="1"/>
  <c r="F31" i="1"/>
  <c r="F32" i="1"/>
  <c r="I32" i="1" s="1"/>
  <c r="F33" i="1"/>
  <c r="F34" i="1"/>
  <c r="F35" i="1"/>
  <c r="F36" i="1"/>
  <c r="F37" i="1"/>
  <c r="F38" i="1"/>
  <c r="I38" i="1" s="1"/>
  <c r="F39" i="1"/>
  <c r="F40" i="1"/>
  <c r="F41" i="1"/>
  <c r="F42" i="1"/>
  <c r="F43" i="1"/>
  <c r="F44" i="1"/>
  <c r="F45" i="1"/>
  <c r="F46" i="1"/>
  <c r="F47" i="1"/>
  <c r="F48" i="1"/>
  <c r="F49" i="1"/>
  <c r="F50" i="1"/>
  <c r="I50" i="1" s="1"/>
  <c r="F51" i="1"/>
  <c r="I51" i="1" s="1"/>
  <c r="F52" i="1"/>
  <c r="F53" i="1"/>
  <c r="F54" i="1"/>
  <c r="F55" i="1"/>
  <c r="F56" i="1"/>
  <c r="F57" i="1"/>
  <c r="F58" i="1"/>
  <c r="F59" i="1"/>
  <c r="F60" i="1"/>
  <c r="F61" i="1"/>
  <c r="F62" i="1"/>
  <c r="I62" i="1" s="1"/>
  <c r="F63" i="1"/>
  <c r="I63" i="1" s="1"/>
  <c r="F64" i="1"/>
  <c r="F65" i="1"/>
  <c r="F6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I58" i="1" l="1"/>
  <c r="I46" i="1"/>
  <c r="I34" i="1"/>
  <c r="I22" i="1"/>
  <c r="I10" i="1"/>
  <c r="I45" i="1"/>
  <c r="I33" i="1"/>
  <c r="I21" i="1"/>
  <c r="J55" i="1"/>
  <c r="J31" i="1"/>
  <c r="J54" i="1"/>
  <c r="I30" i="1"/>
  <c r="J43" i="1"/>
  <c r="J19" i="1"/>
  <c r="I66" i="1"/>
  <c r="J42" i="1"/>
  <c r="J18" i="1"/>
  <c r="I36" i="1"/>
  <c r="J7" i="1"/>
  <c r="I35" i="1"/>
  <c r="I23" i="1"/>
  <c r="J12" i="1"/>
  <c r="I44" i="1"/>
  <c r="I61" i="1"/>
  <c r="I49" i="1"/>
  <c r="I37" i="1"/>
  <c r="I25" i="1"/>
  <c r="I13" i="1"/>
  <c r="I47" i="1"/>
  <c r="I57" i="1"/>
  <c r="I59" i="1"/>
  <c r="I39" i="1"/>
  <c r="I56" i="1"/>
  <c r="I64" i="1"/>
  <c r="I52" i="1"/>
  <c r="I40" i="1"/>
  <c r="I28" i="1"/>
  <c r="I16" i="1"/>
  <c r="I60" i="1"/>
  <c r="I48" i="1"/>
  <c r="I24" i="1"/>
  <c r="I11" i="1"/>
  <c r="I9" i="1"/>
  <c r="J47" i="1"/>
  <c r="J23" i="1"/>
  <c r="J58" i="1"/>
  <c r="J46" i="1"/>
  <c r="J34" i="1"/>
  <c r="J22" i="1"/>
  <c r="J10" i="1"/>
  <c r="I65" i="1"/>
  <c r="J41" i="1"/>
  <c r="I17" i="1"/>
  <c r="J52" i="1"/>
  <c r="J40" i="1"/>
  <c r="J16" i="1"/>
  <c r="J51" i="1"/>
  <c r="J39" i="1"/>
  <c r="J15" i="1"/>
  <c r="I12" i="1"/>
  <c r="J62" i="1"/>
  <c r="J38" i="1"/>
  <c r="J14" i="1"/>
  <c r="J61" i="1"/>
  <c r="J37" i="1"/>
  <c r="J13" i="1"/>
  <c r="J48" i="1"/>
  <c r="J24" i="1"/>
  <c r="J35" i="1"/>
  <c r="J11" i="1"/>
  <c r="I55" i="1"/>
  <c r="I43" i="1"/>
  <c r="I31" i="1"/>
  <c r="I19" i="1"/>
  <c r="I7" i="1"/>
  <c r="J57" i="1"/>
  <c r="J45" i="1"/>
  <c r="J33" i="1"/>
  <c r="J21" i="1"/>
  <c r="J9" i="1"/>
  <c r="J53" i="1"/>
  <c r="I29" i="1"/>
  <c r="J64" i="1"/>
  <c r="J28" i="1"/>
  <c r="J63" i="1"/>
  <c r="J27" i="1"/>
  <c r="J50" i="1"/>
  <c r="J26" i="1"/>
  <c r="J49" i="1"/>
  <c r="J25" i="1"/>
  <c r="J60" i="1"/>
  <c r="J36" i="1"/>
  <c r="J59" i="1"/>
  <c r="J56" i="1"/>
  <c r="J44" i="1"/>
  <c r="J32" i="1"/>
  <c r="J20" i="1"/>
  <c r="J8" i="1"/>
  <c r="I42" i="1"/>
  <c r="J66" i="1"/>
  <c r="J30" i="1"/>
  <c r="I53" i="1"/>
  <c r="J29" i="1"/>
  <c r="I54" i="1"/>
  <c r="I18" i="1"/>
  <c r="J65" i="1"/>
  <c r="J17" i="1"/>
  <c r="I41" i="1"/>
</calcChain>
</file>

<file path=xl/sharedStrings.xml><?xml version="1.0" encoding="utf-8"?>
<sst xmlns="http://schemas.openxmlformats.org/spreadsheetml/2006/main" count="773" uniqueCount="177">
  <si>
    <t>Site</t>
  </si>
  <si>
    <t>ProductID</t>
  </si>
  <si>
    <t>Cost/Unit</t>
  </si>
  <si>
    <t>Reorder Level</t>
  </si>
  <si>
    <t>QuantityOnHand</t>
  </si>
  <si>
    <t>Stock Value</t>
  </si>
  <si>
    <t>Reorder</t>
  </si>
  <si>
    <t>Order Date</t>
  </si>
  <si>
    <t>Store A</t>
  </si>
  <si>
    <t>P001</t>
  </si>
  <si>
    <t>Store B</t>
  </si>
  <si>
    <t>Store C</t>
  </si>
  <si>
    <t>P002</t>
  </si>
  <si>
    <t>P003</t>
  </si>
  <si>
    <t>Yes</t>
  </si>
  <si>
    <t>P004</t>
  </si>
  <si>
    <t>P005</t>
  </si>
  <si>
    <t>P006</t>
  </si>
  <si>
    <t>P007</t>
  </si>
  <si>
    <t>P008</t>
  </si>
  <si>
    <t>P009</t>
  </si>
  <si>
    <t>P010</t>
  </si>
  <si>
    <t>P011</t>
  </si>
  <si>
    <t>P012</t>
  </si>
  <si>
    <t>P013</t>
  </si>
  <si>
    <t>P014</t>
  </si>
  <si>
    <t>P015</t>
  </si>
  <si>
    <t>P016</t>
  </si>
  <si>
    <t>P017</t>
  </si>
  <si>
    <t>P018</t>
  </si>
  <si>
    <t>P019</t>
  </si>
  <si>
    <t>P020</t>
  </si>
  <si>
    <t>ProductName</t>
  </si>
  <si>
    <t>Category</t>
  </si>
  <si>
    <t>ReorderLevel</t>
  </si>
  <si>
    <t>Supplier</t>
  </si>
  <si>
    <t>Rainbow Socks</t>
  </si>
  <si>
    <t>Apparel</t>
  </si>
  <si>
    <t>CozyWear Co.</t>
  </si>
  <si>
    <t>Bubble Tea Kit</t>
  </si>
  <si>
    <t>Food &amp; Drink</t>
  </si>
  <si>
    <t>Tasty Treats Ltd.</t>
  </si>
  <si>
    <t>LED Fidget Spinner</t>
  </si>
  <si>
    <t>Toys &amp; Gadgets</t>
  </si>
  <si>
    <t>FunZone Imports</t>
  </si>
  <si>
    <t>Gourmet Popcorn Pack</t>
  </si>
  <si>
    <t>Snack Masters</t>
  </si>
  <si>
    <t>Pocket Notebook</t>
  </si>
  <si>
    <t>Stationery</t>
  </si>
  <si>
    <t>PaperWorks Supplies</t>
  </si>
  <si>
    <t>Slime DIY Kit</t>
  </si>
  <si>
    <t>Reusable Water Bottle</t>
  </si>
  <si>
    <t>Lifestyle</t>
  </si>
  <si>
    <t>EcoLiving Pty Ltd.</t>
  </si>
  <si>
    <t>Chocolate Pretzel Mix</t>
  </si>
  <si>
    <t>Mini Desk Plant</t>
  </si>
  <si>
    <t>GreenThumb Supplies</t>
  </si>
  <si>
    <t>Glow-in-the-Dark Mug</t>
  </si>
  <si>
    <t>CozyHome Traders</t>
  </si>
  <si>
    <t>Scented Candle Tin</t>
  </si>
  <si>
    <t>Travel Card Holder</t>
  </si>
  <si>
    <t>Urban Style Ltd.</t>
  </si>
  <si>
    <t>Cotton Tote Bag</t>
  </si>
  <si>
    <t>Jelly Bean Jar</t>
  </si>
  <si>
    <t>Sweet Treats Co.</t>
  </si>
  <si>
    <t>Magnetic Bookmark Set</t>
  </si>
  <si>
    <t>Puzzle Cube Keychain</t>
  </si>
  <si>
    <t>Bamboo Cutlery Set</t>
  </si>
  <si>
    <t>Comic-Themed Notebook</t>
  </si>
  <si>
    <t>Spicy Snack Mix</t>
  </si>
  <si>
    <t>Retro Arcade Keyring</t>
  </si>
  <si>
    <t>TransID</t>
  </si>
  <si>
    <t>Date</t>
  </si>
  <si>
    <t>Quantity</t>
  </si>
  <si>
    <t>Type</t>
  </si>
  <si>
    <t>T001</t>
  </si>
  <si>
    <t>Opening Stock</t>
  </si>
  <si>
    <t>T002</t>
  </si>
  <si>
    <t>T003</t>
  </si>
  <si>
    <t>T004</t>
  </si>
  <si>
    <t>T005</t>
  </si>
  <si>
    <t>T006</t>
  </si>
  <si>
    <t>T007</t>
  </si>
  <si>
    <t>T008</t>
  </si>
  <si>
    <t>T009</t>
  </si>
  <si>
    <t>T010</t>
  </si>
  <si>
    <t>T011</t>
  </si>
  <si>
    <t>T012</t>
  </si>
  <si>
    <t>T013</t>
  </si>
  <si>
    <t>T014</t>
  </si>
  <si>
    <t>T015</t>
  </si>
  <si>
    <t>T016</t>
  </si>
  <si>
    <t>T017</t>
  </si>
  <si>
    <t>T018</t>
  </si>
  <si>
    <t>T019</t>
  </si>
  <si>
    <t>T020</t>
  </si>
  <si>
    <t>T021</t>
  </si>
  <si>
    <t>T022</t>
  </si>
  <si>
    <t>T023</t>
  </si>
  <si>
    <t>T024</t>
  </si>
  <si>
    <t>T025</t>
  </si>
  <si>
    <t>T026</t>
  </si>
  <si>
    <t>T027</t>
  </si>
  <si>
    <t>T028</t>
  </si>
  <si>
    <t>T029</t>
  </si>
  <si>
    <t>T030</t>
  </si>
  <si>
    <t>T031</t>
  </si>
  <si>
    <t>T032</t>
  </si>
  <si>
    <t>T033</t>
  </si>
  <si>
    <t>T034</t>
  </si>
  <si>
    <t>T035</t>
  </si>
  <si>
    <t>T036</t>
  </si>
  <si>
    <t>T037</t>
  </si>
  <si>
    <t>T038</t>
  </si>
  <si>
    <t>T039</t>
  </si>
  <si>
    <t>T040</t>
  </si>
  <si>
    <t>T041</t>
  </si>
  <si>
    <t>T042</t>
  </si>
  <si>
    <t>T043</t>
  </si>
  <si>
    <t>T044</t>
  </si>
  <si>
    <t>T045</t>
  </si>
  <si>
    <t>T046</t>
  </si>
  <si>
    <t>T047</t>
  </si>
  <si>
    <t>T048</t>
  </si>
  <si>
    <t>T049</t>
  </si>
  <si>
    <t>T050</t>
  </si>
  <si>
    <t>T051</t>
  </si>
  <si>
    <t>Sale</t>
  </si>
  <si>
    <t>T052</t>
  </si>
  <si>
    <t>T053</t>
  </si>
  <si>
    <t>Receipt</t>
  </si>
  <si>
    <t>T056</t>
  </si>
  <si>
    <t>T054</t>
  </si>
  <si>
    <t>T055</t>
  </si>
  <si>
    <t>T058</t>
  </si>
  <si>
    <t>T059</t>
  </si>
  <si>
    <t>T057</t>
  </si>
  <si>
    <t>T060</t>
  </si>
  <si>
    <t>T062</t>
  </si>
  <si>
    <t>T061</t>
  </si>
  <si>
    <t>T063</t>
  </si>
  <si>
    <t>T064</t>
  </si>
  <si>
    <t>T065</t>
  </si>
  <si>
    <t>T066</t>
  </si>
  <si>
    <t>T068</t>
  </si>
  <si>
    <t>T067</t>
  </si>
  <si>
    <t>T069</t>
  </si>
  <si>
    <t>T070</t>
  </si>
  <si>
    <t>T071</t>
  </si>
  <si>
    <t>Product Description</t>
  </si>
  <si>
    <t>Grand Total</t>
  </si>
  <si>
    <t>Sum of Reorder Level</t>
  </si>
  <si>
    <t>(All)</t>
  </si>
  <si>
    <t>CozyHome Traders Total</t>
  </si>
  <si>
    <t>CozyWear Co. Total</t>
  </si>
  <si>
    <t>EcoLiving Pty Ltd. Total</t>
  </si>
  <si>
    <t>FunZone Imports Total</t>
  </si>
  <si>
    <t>GreenThumb Supplies Total</t>
  </si>
  <si>
    <t>PaperWorks Supplies Total</t>
  </si>
  <si>
    <t>Snack Masters Total</t>
  </si>
  <si>
    <t>Sweet Treats Co. Total</t>
  </si>
  <si>
    <t>Urban Style Ltd. Total</t>
  </si>
  <si>
    <t>T072</t>
  </si>
  <si>
    <t>T073</t>
  </si>
  <si>
    <t>T074</t>
  </si>
  <si>
    <t>T075</t>
  </si>
  <si>
    <t>T076</t>
  </si>
  <si>
    <t>T077</t>
  </si>
  <si>
    <t>T078</t>
  </si>
  <si>
    <t>T079</t>
  </si>
  <si>
    <t>T080</t>
  </si>
  <si>
    <t>T081</t>
  </si>
  <si>
    <t>T082</t>
  </si>
  <si>
    <t>T083</t>
  </si>
  <si>
    <t>Sum of QuantityOnHand</t>
  </si>
  <si>
    <t>Sum of Stock Value</t>
  </si>
  <si>
    <t>Total Stock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</si>
</sst>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 &quot;₹&quot;\ * #,##0.00_ ;_ &quot;₹&quot;\ * \-#,##0.00_ ;_ &quot;₹&quot;\ * &quot;-&quot;??_ ;_ @_ "/>
    <numFmt numFmtId="43" formatCode="_ * #,##0.00_ ;_ * \-#,##0.00_ ;_ * &quot;-&quot;??_ ;_ @_ "/>
    <numFmt numFmtId="164" formatCode="_-* #,##0.00_-;\-* #,##0.00_-;_-* &quot;-&quot;??_-;_-@_-"/>
    <numFmt numFmtId="171" formatCode="[$$-409]#,##0.00_ ;\-[$$-409]#,##0.00\ "/>
    <numFmt numFmtId="172" formatCode="[$$-409]#,##0.00"/>
  </numFmts>
  <fonts count="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20"/>
      <color theme="1"/>
      <name val="Calibri"/>
      <family val="2"/>
      <scheme val="minor"/>
    </font>
    <font>
      <b/>
      <i/>
      <sz val="20"/>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4">
    <border>
      <left/>
      <right/>
      <top/>
      <bottom/>
      <diagonal/>
    </border>
    <border>
      <left/>
      <right/>
      <top/>
      <bottom style="thin">
        <color theme="9"/>
      </bottom>
      <diagonal/>
    </border>
    <border>
      <left/>
      <right/>
      <top/>
      <bottom style="thin">
        <color theme="1"/>
      </bottom>
      <diagonal/>
    </border>
    <border>
      <left style="thick">
        <color auto="1"/>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20">
    <xf numFmtId="0" fontId="0" fillId="0" borderId="0" xfId="0"/>
    <xf numFmtId="14" fontId="0" fillId="0" borderId="0" xfId="0" applyNumberFormat="1"/>
    <xf numFmtId="0" fontId="3" fillId="0" borderId="0" xfId="0" applyFont="1" applyAlignment="1">
      <alignment horizontal="left" vertical="center" wrapText="1"/>
    </xf>
    <xf numFmtId="0" fontId="0" fillId="0" borderId="0" xfId="0" applyAlignment="1">
      <alignment vertical="center" wrapText="1"/>
    </xf>
    <xf numFmtId="0" fontId="2" fillId="0" borderId="1" xfId="0" applyFont="1" applyBorder="1"/>
    <xf numFmtId="0" fontId="3" fillId="0" borderId="2" xfId="0" applyFont="1" applyBorder="1"/>
    <xf numFmtId="164" fontId="3" fillId="0" borderId="2" xfId="1" applyNumberFormat="1" applyFont="1" applyBorder="1"/>
    <xf numFmtId="0" fontId="0" fillId="0" borderId="0" xfId="0" applyNumberFormat="1"/>
    <xf numFmtId="2" fontId="0" fillId="0" borderId="0" xfId="0" applyNumberFormat="1"/>
    <xf numFmtId="43" fontId="0" fillId="0" borderId="0" xfId="1" applyFont="1"/>
    <xf numFmtId="164" fontId="0" fillId="0" borderId="0" xfId="0" applyNumberFormat="1"/>
    <xf numFmtId="0" fontId="0" fillId="0" borderId="0" xfId="0" pivotButton="1"/>
    <xf numFmtId="0" fontId="0" fillId="0" borderId="0" xfId="0" applyNumberFormat="1" applyFont="1" applyFill="1" applyBorder="1" applyAlignment="1" applyProtection="1"/>
    <xf numFmtId="14" fontId="2" fillId="0" borderId="1" xfId="2" applyNumberFormat="1" applyFont="1" applyBorder="1"/>
    <xf numFmtId="14" fontId="0" fillId="0" borderId="0" xfId="2" applyNumberFormat="1" applyFont="1"/>
    <xf numFmtId="0" fontId="4" fillId="2" borderId="3" xfId="0" applyFont="1" applyFill="1" applyBorder="1" applyAlignment="1">
      <alignment horizontal="center" vertical="center"/>
    </xf>
    <xf numFmtId="0" fontId="4" fillId="2" borderId="0" xfId="0" applyFont="1" applyFill="1" applyBorder="1" applyAlignment="1">
      <alignment horizontal="center" vertical="center"/>
    </xf>
    <xf numFmtId="171" fontId="5" fillId="2" borderId="0" xfId="0" applyNumberFormat="1" applyFont="1" applyFill="1" applyAlignment="1">
      <alignment vertical="center"/>
    </xf>
    <xf numFmtId="172" fontId="0" fillId="0" borderId="0" xfId="0" applyNumberFormat="1"/>
    <xf numFmtId="172" fontId="0" fillId="0" borderId="0" xfId="0" applyNumberFormat="1" applyAlignment="1">
      <alignment vertical="center" wrapText="1"/>
    </xf>
  </cellXfs>
  <cellStyles count="3">
    <cellStyle name="Comma" xfId="1" builtinId="3"/>
    <cellStyle name="Currency" xfId="2" builtinId="4"/>
    <cellStyle name="Normal" xfId="0" builtinId="0"/>
  </cellStyles>
  <dxfs count="44">
    <dxf>
      <numFmt numFmtId="172" formatCode="[$$-409]#,##0.00"/>
      <alignment horizontal="general" vertical="center" textRotation="0" wrapText="1" indent="0" justifyLastLine="0" shrinkToFit="0" readingOrder="0"/>
    </dxf>
    <dxf>
      <numFmt numFmtId="172" formatCode="[$$-409]#,##0.00"/>
    </dxf>
    <dxf>
      <numFmt numFmtId="172" formatCode="[$$-409]#,##0.00"/>
    </dxf>
    <dxf>
      <numFmt numFmtId="172" formatCode="[$$-409]#,##0.00"/>
    </dxf>
    <dxf>
      <numFmt numFmtId="0" formatCode="Genera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9" formatCode="dd/mm/yyyy"/>
    </dxf>
    <dxf>
      <numFmt numFmtId="19" formatCode="dd/mm/yyyy"/>
    </dxf>
    <dxf>
      <border outline="0">
        <bottom style="thin">
          <color theme="9"/>
        </bottom>
      </border>
    </dxf>
    <dxf>
      <border outline="0">
        <top style="thin">
          <color theme="9"/>
        </top>
      </border>
    </dxf>
    <dxf>
      <font>
        <b/>
        <i val="0"/>
        <strike val="0"/>
        <condense val="0"/>
        <extend val="0"/>
        <outline val="0"/>
        <shadow val="0"/>
        <u val="none"/>
        <vertAlign val="baseline"/>
        <sz val="11"/>
        <color theme="0"/>
        <name val="Calibri"/>
        <scheme val="minor"/>
      </font>
    </dxf>
    <dxf>
      <numFmt numFmtId="0" formatCode="General"/>
    </dxf>
    <dxf>
      <numFmt numFmtId="0" formatCode="General"/>
    </dxf>
    <dxf>
      <numFmt numFmtId="2" formatCode="0.00"/>
    </dxf>
    <dxf>
      <numFmt numFmtId="0" formatCode="General"/>
    </dxf>
    <dxf>
      <font>
        <b/>
        <i val="0"/>
        <strike val="0"/>
        <condense val="0"/>
        <extend val="0"/>
        <outline val="0"/>
        <shadow val="0"/>
        <u val="none"/>
        <vertAlign val="baseline"/>
        <sz val="11"/>
        <color theme="1"/>
        <name val="Calibri"/>
        <scheme val="minor"/>
      </font>
    </dxf>
    <dxf>
      <border outline="0">
        <bottom style="thin">
          <color theme="1"/>
        </bottom>
      </border>
    </dxf>
    <dxf>
      <border outline="0">
        <top style="thin">
          <color theme="1"/>
        </top>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8</xdr:col>
      <xdr:colOff>15240</xdr:colOff>
      <xdr:row>3</xdr:row>
      <xdr:rowOff>160020</xdr:rowOff>
    </xdr:from>
    <xdr:to>
      <xdr:col>11</xdr:col>
      <xdr:colOff>15240</xdr:colOff>
      <xdr:row>20</xdr:row>
      <xdr:rowOff>83820</xdr:rowOff>
    </xdr:to>
    <mc:AlternateContent xmlns:mc="http://schemas.openxmlformats.org/markup-compatibility/2006">
      <mc:Choice xmlns:a14="http://schemas.microsoft.com/office/drawing/2010/main" Requires="a14">
        <xdr:graphicFrame macro="">
          <xdr:nvGraphicFramePr>
            <xdr:cNvPr id="2" name="Supplie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dr:sp macro="" textlink="">
          <xdr:nvSpPr>
            <xdr:cNvPr id="0" name=""/>
            <xdr:cNvSpPr>
              <a:spLocks noTextEdit="1"/>
            </xdr:cNvSpPr>
          </xdr:nvSpPr>
          <xdr:spPr>
            <a:xfrm>
              <a:off x="7169075" y="697902"/>
              <a:ext cx="1828800" cy="2971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cer1\Downloads\inventory_management_syste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pyright"/>
      <sheetName val="Inventory"/>
      <sheetName val="Transactions"/>
      <sheetName val="Products"/>
      <sheetName val="Order"/>
      <sheetName val="Reports"/>
      <sheetName val="New Data"/>
      <sheetName val="More Resources"/>
    </sheetNames>
    <sheetDataSet>
      <sheetData sheetId="0" refreshError="1"/>
      <sheetData sheetId="1"/>
      <sheetData sheetId="2"/>
      <sheetData sheetId="3"/>
      <sheetData sheetId="4" refreshError="1"/>
      <sheetData sheetId="5" refreshError="1"/>
      <sheetData sheetId="6" refreshError="1"/>
      <sheetData sheetId="7"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ictus" refreshedDate="46064.840457060185" createdVersion="6" refreshedVersion="6" minRefreshableVersion="3" recordCount="60">
  <cacheSource type="worksheet">
    <worksheetSource name="Inventory"/>
  </cacheSource>
  <cacheFields count="10">
    <cacheField name="Site" numFmtId="0">
      <sharedItems count="3">
        <s v="Store A"/>
        <s v="Store B"/>
        <s v="Store C"/>
      </sharedItems>
    </cacheField>
    <cacheField name="ProductID" numFmtId="0">
      <sharedItems count="20">
        <s v="P001"/>
        <s v="P002"/>
        <s v="P003"/>
        <s v="P004"/>
        <s v="P005"/>
        <s v="P006"/>
        <s v="P007"/>
        <s v="P008"/>
        <s v="P009"/>
        <s v="P010"/>
        <s v="P011"/>
        <s v="P012"/>
        <s v="P013"/>
        <s v="P014"/>
        <s v="P015"/>
        <s v="P016"/>
        <s v="P017"/>
        <s v="P018"/>
        <s v="P019"/>
        <s v="P020"/>
      </sharedItems>
    </cacheField>
    <cacheField name="Product Description" numFmtId="0">
      <sharedItems count="21">
        <s v="Rainbow Socks"/>
        <s v="Bubble Tea Kit"/>
        <s v="LED Fidget Spinner"/>
        <s v="Gourmet Popcorn Pack"/>
        <s v="Pocket Notebook"/>
        <s v="Slime DIY Kit"/>
        <s v="Reusable Water Bottle"/>
        <s v="Chocolate Pretzel Mix"/>
        <s v="Mini Desk Plant"/>
        <s v="Glow-in-the-Dark Mug"/>
        <s v="Scented Candle Tin"/>
        <s v="Travel Card Holder"/>
        <s v="Cotton Tote Bag"/>
        <s v="Jelly Bean Jar"/>
        <s v="Magnetic Bookmark Set"/>
        <s v="Puzzle Cube Keychain"/>
        <s v="Bamboo Cutlery Set"/>
        <s v="Comic-Themed Notebook"/>
        <s v="Spicy Snack Mix"/>
        <s v="Retro Arcade Keyring"/>
        <s v="CozyWear Co." u="1"/>
      </sharedItems>
    </cacheField>
    <cacheField name="Supplier" numFmtId="0">
      <sharedItems count="10">
        <s v="CozyWear Co."/>
        <s v="Tasty Treats Ltd."/>
        <s v="FunZone Imports"/>
        <s v="Snack Masters"/>
        <s v="PaperWorks Supplies"/>
        <s v="EcoLiving Pty Ltd."/>
        <s v="GreenThumb Supplies"/>
        <s v="CozyHome Traders"/>
        <s v="Urban Style Ltd."/>
        <s v="Sweet Treats Co."/>
      </sharedItems>
    </cacheField>
    <cacheField name="Cost/Unit" numFmtId="0">
      <sharedItems containsSemiMixedTypes="0" containsString="0" containsNumber="1" minValue="3" maxValue="15"/>
    </cacheField>
    <cacheField name="Reorder Level" numFmtId="2">
      <sharedItems containsSemiMixedTypes="0" containsString="0" containsNumber="1" containsInteger="1" minValue="8" maxValue="30"/>
    </cacheField>
    <cacheField name="QuantityOnHand" numFmtId="0">
      <sharedItems containsSemiMixedTypes="0" containsString="0" containsNumber="1" containsInteger="1" minValue="0" maxValue="50"/>
    </cacheField>
    <cacheField name="Stock Value" numFmtId="0">
      <sharedItems containsSemiMixedTypes="0" containsString="0" containsNumber="1" minValue="0" maxValue="408"/>
    </cacheField>
    <cacheField name="Reorder" numFmtId="0">
      <sharedItems count="2">
        <s v="No"/>
        <s v="Yes"/>
      </sharedItems>
    </cacheField>
    <cacheField name="Order Date" numFmtId="0">
      <sharedItems containsNonDate="0" containsDate="1" containsString="0" containsBlank="1" minDate="2026-02-11T00:00:00" maxDate="2026-02-13T00:00:00" count="3">
        <m/>
        <d v="2026-02-11T00:00:00"/>
        <d v="2026-02-12T00:00:0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0">
  <r>
    <x v="0"/>
    <x v="0"/>
    <x v="0"/>
    <x v="0"/>
    <n v="8.5"/>
    <n v="20"/>
    <n v="48"/>
    <n v="408"/>
    <x v="0"/>
    <x v="0"/>
  </r>
  <r>
    <x v="1"/>
    <x v="0"/>
    <x v="0"/>
    <x v="0"/>
    <n v="8.5"/>
    <n v="20"/>
    <n v="30"/>
    <n v="255"/>
    <x v="0"/>
    <x v="0"/>
  </r>
  <r>
    <x v="2"/>
    <x v="0"/>
    <x v="0"/>
    <x v="0"/>
    <n v="8.5"/>
    <n v="20"/>
    <n v="40"/>
    <n v="340"/>
    <x v="0"/>
    <x v="0"/>
  </r>
  <r>
    <x v="0"/>
    <x v="1"/>
    <x v="1"/>
    <x v="1"/>
    <n v="12"/>
    <n v="15"/>
    <n v="19"/>
    <n v="228"/>
    <x v="0"/>
    <x v="0"/>
  </r>
  <r>
    <x v="1"/>
    <x v="1"/>
    <x v="1"/>
    <x v="1"/>
    <n v="12"/>
    <n v="15"/>
    <n v="20"/>
    <n v="240"/>
    <x v="0"/>
    <x v="0"/>
  </r>
  <r>
    <x v="2"/>
    <x v="1"/>
    <x v="1"/>
    <x v="1"/>
    <n v="12"/>
    <n v="15"/>
    <n v="29"/>
    <n v="348"/>
    <x v="0"/>
    <x v="0"/>
  </r>
  <r>
    <x v="0"/>
    <x v="2"/>
    <x v="2"/>
    <x v="2"/>
    <n v="6"/>
    <n v="10"/>
    <n v="22"/>
    <n v="132"/>
    <x v="0"/>
    <x v="0"/>
  </r>
  <r>
    <x v="1"/>
    <x v="2"/>
    <x v="2"/>
    <x v="2"/>
    <n v="6"/>
    <n v="10"/>
    <n v="30"/>
    <n v="180"/>
    <x v="0"/>
    <x v="0"/>
  </r>
  <r>
    <x v="2"/>
    <x v="2"/>
    <x v="2"/>
    <x v="2"/>
    <n v="6"/>
    <n v="10"/>
    <n v="10"/>
    <n v="60"/>
    <x v="1"/>
    <x v="1"/>
  </r>
  <r>
    <x v="0"/>
    <x v="3"/>
    <x v="3"/>
    <x v="3"/>
    <n v="5.5"/>
    <n v="25"/>
    <n v="35"/>
    <n v="192.5"/>
    <x v="0"/>
    <x v="0"/>
  </r>
  <r>
    <x v="1"/>
    <x v="3"/>
    <x v="3"/>
    <x v="3"/>
    <n v="5.5"/>
    <n v="25"/>
    <n v="20"/>
    <n v="110"/>
    <x v="1"/>
    <x v="1"/>
  </r>
  <r>
    <x v="2"/>
    <x v="3"/>
    <x v="3"/>
    <x v="3"/>
    <n v="5.5"/>
    <n v="25"/>
    <n v="18"/>
    <n v="99"/>
    <x v="1"/>
    <x v="1"/>
  </r>
  <r>
    <x v="0"/>
    <x v="4"/>
    <x v="4"/>
    <x v="4"/>
    <n v="3"/>
    <n v="30"/>
    <n v="27"/>
    <n v="81"/>
    <x v="1"/>
    <x v="2"/>
  </r>
  <r>
    <x v="1"/>
    <x v="4"/>
    <x v="4"/>
    <x v="4"/>
    <n v="3"/>
    <n v="30"/>
    <n v="50"/>
    <n v="150"/>
    <x v="0"/>
    <x v="0"/>
  </r>
  <r>
    <x v="2"/>
    <x v="4"/>
    <x v="4"/>
    <x v="4"/>
    <n v="3"/>
    <n v="30"/>
    <n v="35"/>
    <n v="105"/>
    <x v="0"/>
    <x v="0"/>
  </r>
  <r>
    <x v="0"/>
    <x v="5"/>
    <x v="5"/>
    <x v="2"/>
    <n v="9"/>
    <n v="12"/>
    <n v="20"/>
    <n v="180"/>
    <x v="0"/>
    <x v="0"/>
  </r>
  <r>
    <x v="1"/>
    <x v="5"/>
    <x v="5"/>
    <x v="2"/>
    <n v="9"/>
    <n v="12"/>
    <n v="13"/>
    <n v="117"/>
    <x v="0"/>
    <x v="0"/>
  </r>
  <r>
    <x v="2"/>
    <x v="5"/>
    <x v="5"/>
    <x v="2"/>
    <n v="9"/>
    <n v="12"/>
    <n v="22"/>
    <n v="198"/>
    <x v="0"/>
    <x v="0"/>
  </r>
  <r>
    <x v="0"/>
    <x v="6"/>
    <x v="6"/>
    <x v="5"/>
    <n v="15"/>
    <n v="20"/>
    <n v="25"/>
    <n v="375"/>
    <x v="0"/>
    <x v="0"/>
  </r>
  <r>
    <x v="1"/>
    <x v="6"/>
    <x v="6"/>
    <x v="5"/>
    <n v="15"/>
    <n v="20"/>
    <n v="25"/>
    <n v="375"/>
    <x v="0"/>
    <x v="0"/>
  </r>
  <r>
    <x v="2"/>
    <x v="6"/>
    <x v="6"/>
    <x v="5"/>
    <n v="15"/>
    <n v="20"/>
    <n v="20"/>
    <n v="300"/>
    <x v="1"/>
    <x v="1"/>
  </r>
  <r>
    <x v="0"/>
    <x v="7"/>
    <x v="7"/>
    <x v="3"/>
    <n v="4.5"/>
    <n v="25"/>
    <n v="3"/>
    <n v="13.5"/>
    <x v="1"/>
    <x v="1"/>
  </r>
  <r>
    <x v="1"/>
    <x v="7"/>
    <x v="7"/>
    <x v="3"/>
    <n v="4.5"/>
    <n v="25"/>
    <n v="3"/>
    <n v="13.5"/>
    <x v="1"/>
    <x v="1"/>
  </r>
  <r>
    <x v="2"/>
    <x v="7"/>
    <x v="7"/>
    <x v="3"/>
    <n v="4.5"/>
    <n v="25"/>
    <n v="1"/>
    <n v="4.5"/>
    <x v="1"/>
    <x v="1"/>
  </r>
  <r>
    <x v="0"/>
    <x v="8"/>
    <x v="8"/>
    <x v="6"/>
    <n v="10"/>
    <n v="8"/>
    <n v="0"/>
    <n v="0"/>
    <x v="1"/>
    <x v="1"/>
  </r>
  <r>
    <x v="1"/>
    <x v="8"/>
    <x v="8"/>
    <x v="6"/>
    <n v="10"/>
    <n v="8"/>
    <n v="1"/>
    <n v="10"/>
    <x v="1"/>
    <x v="1"/>
  </r>
  <r>
    <x v="2"/>
    <x v="8"/>
    <x v="8"/>
    <x v="6"/>
    <n v="10"/>
    <n v="8"/>
    <n v="1"/>
    <n v="10"/>
    <x v="1"/>
    <x v="1"/>
  </r>
  <r>
    <x v="0"/>
    <x v="9"/>
    <x v="9"/>
    <x v="7"/>
    <n v="11.5"/>
    <n v="10"/>
    <n v="11"/>
    <n v="126.5"/>
    <x v="0"/>
    <x v="0"/>
  </r>
  <r>
    <x v="1"/>
    <x v="9"/>
    <x v="9"/>
    <x v="7"/>
    <n v="11.5"/>
    <n v="10"/>
    <n v="10"/>
    <n v="115"/>
    <x v="1"/>
    <x v="1"/>
  </r>
  <r>
    <x v="2"/>
    <x v="9"/>
    <x v="9"/>
    <x v="7"/>
    <n v="11.5"/>
    <n v="10"/>
    <n v="1"/>
    <n v="11.5"/>
    <x v="1"/>
    <x v="1"/>
  </r>
  <r>
    <x v="0"/>
    <x v="10"/>
    <x v="10"/>
    <x v="7"/>
    <n v="7.5"/>
    <n v="18"/>
    <n v="11"/>
    <n v="82.5"/>
    <x v="1"/>
    <x v="1"/>
  </r>
  <r>
    <x v="1"/>
    <x v="10"/>
    <x v="10"/>
    <x v="7"/>
    <n v="7.5"/>
    <n v="18"/>
    <n v="1"/>
    <n v="7.5"/>
    <x v="1"/>
    <x v="1"/>
  </r>
  <r>
    <x v="2"/>
    <x v="10"/>
    <x v="10"/>
    <x v="7"/>
    <n v="7.5"/>
    <n v="18"/>
    <n v="1"/>
    <n v="7.5"/>
    <x v="1"/>
    <x v="1"/>
  </r>
  <r>
    <x v="0"/>
    <x v="11"/>
    <x v="11"/>
    <x v="8"/>
    <n v="5"/>
    <n v="15"/>
    <n v="0"/>
    <n v="0"/>
    <x v="1"/>
    <x v="1"/>
  </r>
  <r>
    <x v="1"/>
    <x v="11"/>
    <x v="11"/>
    <x v="8"/>
    <n v="5"/>
    <n v="15"/>
    <n v="10"/>
    <n v="50"/>
    <x v="1"/>
    <x v="1"/>
  </r>
  <r>
    <x v="2"/>
    <x v="11"/>
    <x v="11"/>
    <x v="8"/>
    <n v="5"/>
    <n v="15"/>
    <n v="0"/>
    <n v="0"/>
    <x v="1"/>
    <x v="1"/>
  </r>
  <r>
    <x v="0"/>
    <x v="12"/>
    <x v="12"/>
    <x v="0"/>
    <n v="6.5"/>
    <n v="20"/>
    <n v="0"/>
    <n v="0"/>
    <x v="1"/>
    <x v="1"/>
  </r>
  <r>
    <x v="1"/>
    <x v="12"/>
    <x v="12"/>
    <x v="0"/>
    <n v="6.5"/>
    <n v="20"/>
    <n v="40"/>
    <n v="260"/>
    <x v="0"/>
    <x v="0"/>
  </r>
  <r>
    <x v="2"/>
    <x v="12"/>
    <x v="12"/>
    <x v="0"/>
    <n v="6.5"/>
    <n v="20"/>
    <n v="35"/>
    <n v="227.5"/>
    <x v="0"/>
    <x v="0"/>
  </r>
  <r>
    <x v="0"/>
    <x v="13"/>
    <x v="13"/>
    <x v="9"/>
    <n v="7"/>
    <n v="12"/>
    <n v="2"/>
    <n v="14"/>
    <x v="1"/>
    <x v="1"/>
  </r>
  <r>
    <x v="1"/>
    <x v="13"/>
    <x v="13"/>
    <x v="9"/>
    <n v="7"/>
    <n v="12"/>
    <n v="0"/>
    <n v="0"/>
    <x v="1"/>
    <x v="1"/>
  </r>
  <r>
    <x v="2"/>
    <x v="13"/>
    <x v="13"/>
    <x v="9"/>
    <n v="7"/>
    <n v="12"/>
    <n v="2"/>
    <n v="14"/>
    <x v="1"/>
    <x v="1"/>
  </r>
  <r>
    <x v="0"/>
    <x v="14"/>
    <x v="14"/>
    <x v="4"/>
    <n v="4"/>
    <n v="15"/>
    <n v="2"/>
    <n v="8"/>
    <x v="1"/>
    <x v="1"/>
  </r>
  <r>
    <x v="1"/>
    <x v="14"/>
    <x v="14"/>
    <x v="4"/>
    <n v="4"/>
    <n v="15"/>
    <n v="2"/>
    <n v="8"/>
    <x v="1"/>
    <x v="1"/>
  </r>
  <r>
    <x v="2"/>
    <x v="14"/>
    <x v="14"/>
    <x v="4"/>
    <n v="4"/>
    <n v="15"/>
    <n v="1"/>
    <n v="4"/>
    <x v="1"/>
    <x v="1"/>
  </r>
  <r>
    <x v="0"/>
    <x v="15"/>
    <x v="15"/>
    <x v="2"/>
    <n v="6.5"/>
    <n v="10"/>
    <n v="2"/>
    <n v="13"/>
    <x v="1"/>
    <x v="1"/>
  </r>
  <r>
    <x v="1"/>
    <x v="15"/>
    <x v="15"/>
    <x v="2"/>
    <n v="6.5"/>
    <n v="10"/>
    <n v="0"/>
    <n v="0"/>
    <x v="1"/>
    <x v="1"/>
  </r>
  <r>
    <x v="2"/>
    <x v="15"/>
    <x v="15"/>
    <x v="2"/>
    <n v="6.5"/>
    <n v="10"/>
    <n v="2"/>
    <n v="13"/>
    <x v="1"/>
    <x v="1"/>
  </r>
  <r>
    <x v="0"/>
    <x v="16"/>
    <x v="16"/>
    <x v="5"/>
    <n v="8"/>
    <n v="12"/>
    <n v="0"/>
    <n v="0"/>
    <x v="1"/>
    <x v="1"/>
  </r>
  <r>
    <x v="1"/>
    <x v="16"/>
    <x v="16"/>
    <x v="5"/>
    <n v="8"/>
    <n v="12"/>
    <n v="3"/>
    <n v="24"/>
    <x v="1"/>
    <x v="1"/>
  </r>
  <r>
    <x v="2"/>
    <x v="16"/>
    <x v="16"/>
    <x v="5"/>
    <n v="8"/>
    <n v="12"/>
    <n v="4"/>
    <n v="32"/>
    <x v="1"/>
    <x v="1"/>
  </r>
  <r>
    <x v="0"/>
    <x v="17"/>
    <x v="17"/>
    <x v="4"/>
    <n v="4.5"/>
    <n v="20"/>
    <n v="20"/>
    <n v="90"/>
    <x v="1"/>
    <x v="1"/>
  </r>
  <r>
    <x v="1"/>
    <x v="17"/>
    <x v="17"/>
    <x v="4"/>
    <n v="4.5"/>
    <n v="20"/>
    <n v="0"/>
    <n v="0"/>
    <x v="1"/>
    <x v="1"/>
  </r>
  <r>
    <x v="2"/>
    <x v="17"/>
    <x v="17"/>
    <x v="4"/>
    <n v="4.5"/>
    <n v="20"/>
    <n v="0"/>
    <n v="0"/>
    <x v="1"/>
    <x v="1"/>
  </r>
  <r>
    <x v="0"/>
    <x v="18"/>
    <x v="18"/>
    <x v="3"/>
    <n v="5"/>
    <n v="25"/>
    <n v="4"/>
    <n v="20"/>
    <x v="1"/>
    <x v="1"/>
  </r>
  <r>
    <x v="1"/>
    <x v="18"/>
    <x v="18"/>
    <x v="3"/>
    <n v="5"/>
    <n v="25"/>
    <n v="4"/>
    <n v="20"/>
    <x v="1"/>
    <x v="1"/>
  </r>
  <r>
    <x v="2"/>
    <x v="18"/>
    <x v="18"/>
    <x v="3"/>
    <n v="5"/>
    <n v="25"/>
    <n v="0"/>
    <n v="0"/>
    <x v="1"/>
    <x v="1"/>
  </r>
  <r>
    <x v="0"/>
    <x v="19"/>
    <x v="19"/>
    <x v="2"/>
    <n v="7.5"/>
    <n v="10"/>
    <n v="2"/>
    <n v="15"/>
    <x v="1"/>
    <x v="1"/>
  </r>
  <r>
    <x v="1"/>
    <x v="19"/>
    <x v="19"/>
    <x v="2"/>
    <n v="7.5"/>
    <n v="10"/>
    <n v="2"/>
    <n v="15"/>
    <x v="1"/>
    <x v="1"/>
  </r>
  <r>
    <x v="2"/>
    <x v="19"/>
    <x v="19"/>
    <x v="2"/>
    <n v="7.5"/>
    <n v="10"/>
    <n v="11"/>
    <n v="82.5"/>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Orders_Table" cacheId="44"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4:G32" firstHeaderRow="1" firstDataRow="2" firstDataCol="3" rowPageCount="2" colPageCount="1"/>
  <pivotFields count="10">
    <pivotField axis="axisCol" compact="0" outline="0" subtotalTop="0" showAll="0">
      <items count="4">
        <item x="0"/>
        <item x="1"/>
        <item x="2"/>
        <item t="default"/>
      </items>
    </pivotField>
    <pivotField axis="axisRow" compact="0" outline="0" subtotalTop="0" showAll="0" defaultSubtotal="0">
      <items count="20">
        <item x="0"/>
        <item x="1"/>
        <item x="2"/>
        <item x="3"/>
        <item x="4"/>
        <item x="5"/>
        <item x="6"/>
        <item x="7"/>
        <item x="8"/>
        <item x="9"/>
        <item x="10"/>
        <item x="11"/>
        <item x="12"/>
        <item x="13"/>
        <item x="14"/>
        <item x="15"/>
        <item x="16"/>
        <item x="17"/>
        <item x="18"/>
        <item x="19"/>
      </items>
    </pivotField>
    <pivotField axis="axisRow" compact="0" outline="0" subtotalTop="0" showAll="0">
      <items count="22">
        <item x="16"/>
        <item x="1"/>
        <item x="7"/>
        <item x="17"/>
        <item x="12"/>
        <item m="1" x="20"/>
        <item x="9"/>
        <item x="3"/>
        <item x="13"/>
        <item x="2"/>
        <item x="14"/>
        <item x="8"/>
        <item x="4"/>
        <item x="15"/>
        <item x="0"/>
        <item x="19"/>
        <item x="6"/>
        <item x="10"/>
        <item x="5"/>
        <item x="18"/>
        <item x="11"/>
        <item t="default"/>
      </items>
    </pivotField>
    <pivotField axis="axisRow" compact="0" outline="0" subtotalTop="0" showAll="0">
      <items count="11">
        <item x="7"/>
        <item x="0"/>
        <item x="5"/>
        <item x="2"/>
        <item x="6"/>
        <item x="4"/>
        <item x="3"/>
        <item x="9"/>
        <item x="1"/>
        <item x="8"/>
        <item t="default"/>
      </items>
    </pivotField>
    <pivotField compact="0" outline="0" subtotalTop="0" showAll="0"/>
    <pivotField dataField="1" compact="0" numFmtId="2" outline="0" subtotalTop="0" showAll="0"/>
    <pivotField compact="0" outline="0" subtotalTop="0" showAll="0"/>
    <pivotField compact="0" outline="0" subtotalTop="0" showAll="0"/>
    <pivotField axis="axisPage" compact="0" outline="0" subtotalTop="0" showAll="0">
      <items count="3">
        <item x="0"/>
        <item x="1"/>
        <item t="default"/>
      </items>
    </pivotField>
    <pivotField axis="axisPage" compact="0" outline="0" subtotalTop="0" showAll="0">
      <items count="4">
        <item x="1"/>
        <item x="0"/>
        <item x="2"/>
        <item t="default"/>
      </items>
    </pivotField>
  </pivotFields>
  <rowFields count="3">
    <field x="3"/>
    <field x="1"/>
    <field x="2"/>
  </rowFields>
  <rowItems count="27">
    <i>
      <x/>
      <x v="9"/>
      <x v="6"/>
    </i>
    <i r="1">
      <x v="10"/>
      <x v="17"/>
    </i>
    <i t="default">
      <x/>
    </i>
    <i>
      <x v="1"/>
      <x v="12"/>
      <x v="4"/>
    </i>
    <i t="default">
      <x v="1"/>
    </i>
    <i>
      <x v="2"/>
      <x v="6"/>
      <x v="16"/>
    </i>
    <i r="1">
      <x v="16"/>
      <x/>
    </i>
    <i t="default">
      <x v="2"/>
    </i>
    <i>
      <x v="3"/>
      <x v="2"/>
      <x v="9"/>
    </i>
    <i r="1">
      <x v="15"/>
      <x v="13"/>
    </i>
    <i r="1">
      <x v="19"/>
      <x v="15"/>
    </i>
    <i t="default">
      <x v="3"/>
    </i>
    <i>
      <x v="4"/>
      <x v="8"/>
      <x v="11"/>
    </i>
    <i t="default">
      <x v="4"/>
    </i>
    <i>
      <x v="5"/>
      <x v="4"/>
      <x v="12"/>
    </i>
    <i r="1">
      <x v="14"/>
      <x v="10"/>
    </i>
    <i r="1">
      <x v="17"/>
      <x v="3"/>
    </i>
    <i t="default">
      <x v="5"/>
    </i>
    <i>
      <x v="6"/>
      <x v="3"/>
      <x v="7"/>
    </i>
    <i r="1">
      <x v="7"/>
      <x v="2"/>
    </i>
    <i r="1">
      <x v="18"/>
      <x v="19"/>
    </i>
    <i t="default">
      <x v="6"/>
    </i>
    <i>
      <x v="7"/>
      <x v="13"/>
      <x v="8"/>
    </i>
    <i t="default">
      <x v="7"/>
    </i>
    <i>
      <x v="9"/>
      <x v="11"/>
      <x v="20"/>
    </i>
    <i t="default">
      <x v="9"/>
    </i>
    <i t="grand">
      <x/>
    </i>
  </rowItems>
  <colFields count="1">
    <field x="0"/>
  </colFields>
  <colItems count="4">
    <i>
      <x/>
    </i>
    <i>
      <x v="1"/>
    </i>
    <i>
      <x v="2"/>
    </i>
    <i t="grand">
      <x/>
    </i>
  </colItems>
  <pageFields count="2">
    <pageField fld="8" item="1" hier="-1"/>
    <pageField fld="9" hier="-1"/>
  </pageFields>
  <dataFields count="1">
    <dataField name="Sum of Reorder Level" fld="5" baseField="0" baseItem="0"/>
  </dataFields>
  <formats count="2">
    <format dxfId="23">
      <pivotArea type="all" dataOnly="0" outline="0" fieldPosition="0"/>
    </format>
    <format dxfId="24">
      <pivotArea type="all" dataOnly="0" outline="0" fieldPosition="0"/>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Stock_Value_at_Site" cacheId="44"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H3:M25" firstHeaderRow="1" firstDataRow="2" firstDataCol="2"/>
  <pivotFields count="10">
    <pivotField axis="axisCol" compact="0" outline="0" subtotalTop="0" showAll="0" defaultSubtotal="0">
      <items count="3">
        <item x="0"/>
        <item x="1"/>
        <item x="2"/>
      </items>
    </pivotField>
    <pivotField axis="axisRow" compact="0" outline="0" subtotalTop="0" showAll="0" defaultSubtotal="0">
      <items count="20">
        <item x="0"/>
        <item x="1"/>
        <item x="2"/>
        <item x="3"/>
        <item x="4"/>
        <item x="5"/>
        <item x="6"/>
        <item x="7"/>
        <item x="8"/>
        <item x="9"/>
        <item x="10"/>
        <item x="11"/>
        <item x="12"/>
        <item x="13"/>
        <item x="14"/>
        <item x="15"/>
        <item x="16"/>
        <item x="17"/>
        <item x="18"/>
        <item x="19"/>
      </items>
    </pivotField>
    <pivotField axis="axisRow" compact="0" outline="0" subtotalTop="0" showAll="0" defaultSubtotal="0">
      <items count="21">
        <item x="16"/>
        <item x="1"/>
        <item x="7"/>
        <item x="17"/>
        <item x="12"/>
        <item m="1" x="20"/>
        <item x="9"/>
        <item x="3"/>
        <item x="13"/>
        <item x="2"/>
        <item x="14"/>
        <item x="8"/>
        <item x="4"/>
        <item x="15"/>
        <item x="0"/>
        <item x="19"/>
        <item x="6"/>
        <item x="10"/>
        <item x="5"/>
        <item x="18"/>
        <item x="11"/>
      </items>
    </pivotField>
    <pivotField compact="0" outline="0" subtotalTop="0" showAll="0" defaultSubtotal="0"/>
    <pivotField compact="0" outline="0" subtotalTop="0" showAll="0" defaultSubtotal="0"/>
    <pivotField compact="0" numFmtId="2"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2">
    <field x="2"/>
    <field x="1"/>
  </rowFields>
  <rowItems count="21">
    <i>
      <x/>
      <x v="16"/>
    </i>
    <i>
      <x v="1"/>
      <x v="1"/>
    </i>
    <i>
      <x v="2"/>
      <x v="7"/>
    </i>
    <i>
      <x v="3"/>
      <x v="17"/>
    </i>
    <i>
      <x v="4"/>
      <x v="12"/>
    </i>
    <i>
      <x v="6"/>
      <x v="9"/>
    </i>
    <i>
      <x v="7"/>
      <x v="3"/>
    </i>
    <i>
      <x v="8"/>
      <x v="13"/>
    </i>
    <i>
      <x v="9"/>
      <x v="2"/>
    </i>
    <i>
      <x v="10"/>
      <x v="14"/>
    </i>
    <i>
      <x v="11"/>
      <x v="8"/>
    </i>
    <i>
      <x v="12"/>
      <x v="4"/>
    </i>
    <i>
      <x v="13"/>
      <x v="15"/>
    </i>
    <i>
      <x v="14"/>
      <x/>
    </i>
    <i>
      <x v="15"/>
      <x v="19"/>
    </i>
    <i>
      <x v="16"/>
      <x v="6"/>
    </i>
    <i>
      <x v="17"/>
      <x v="10"/>
    </i>
    <i>
      <x v="18"/>
      <x v="5"/>
    </i>
    <i>
      <x v="19"/>
      <x v="18"/>
    </i>
    <i>
      <x v="20"/>
      <x v="11"/>
    </i>
    <i t="grand">
      <x/>
    </i>
  </rowItems>
  <colFields count="1">
    <field x="0"/>
  </colFields>
  <colItems count="4">
    <i>
      <x/>
    </i>
    <i>
      <x v="1"/>
    </i>
    <i>
      <x v="2"/>
    </i>
    <i t="grand">
      <x/>
    </i>
  </colItems>
  <dataFields count="1">
    <dataField name="Sum of Stock Value" fld="7" baseField="0" baseItem="0" numFmtId="172"/>
  </dataFields>
  <formats count="1">
    <format dxfId="1">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Quantity_at_Site" cacheId="44"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F25" firstHeaderRow="1" firstDataRow="2" firstDataCol="2"/>
  <pivotFields count="10">
    <pivotField axis="axisCol" compact="0" outline="0" showAll="0" defaultSubtotal="0">
      <items count="3">
        <item x="0"/>
        <item x="1"/>
        <item x="2"/>
      </items>
    </pivotField>
    <pivotField axis="axisRow" compact="0" outline="0" showAll="0" defaultSubtotal="0">
      <items count="20">
        <item x="0"/>
        <item x="1"/>
        <item x="2"/>
        <item x="3"/>
        <item x="4"/>
        <item x="5"/>
        <item x="6"/>
        <item x="7"/>
        <item x="8"/>
        <item x="9"/>
        <item x="10"/>
        <item x="11"/>
        <item x="12"/>
        <item x="13"/>
        <item x="14"/>
        <item x="15"/>
        <item x="16"/>
        <item x="17"/>
        <item x="18"/>
        <item x="19"/>
      </items>
    </pivotField>
    <pivotField axis="axisRow" compact="0" outline="0" showAll="0" defaultSubtotal="0">
      <items count="21">
        <item x="16"/>
        <item x="1"/>
        <item x="7"/>
        <item x="17"/>
        <item x="12"/>
        <item m="1" x="20"/>
        <item x="9"/>
        <item x="3"/>
        <item x="13"/>
        <item x="2"/>
        <item x="14"/>
        <item x="8"/>
        <item x="4"/>
        <item x="15"/>
        <item x="0"/>
        <item x="19"/>
        <item x="6"/>
        <item x="10"/>
        <item x="5"/>
        <item x="18"/>
        <item x="11"/>
      </items>
    </pivotField>
    <pivotField compact="0" outline="0" showAll="0" defaultSubtotal="0"/>
    <pivotField compact="0" outline="0" showAll="0" defaultSubtotal="0"/>
    <pivotField compact="0" numFmtId="2" outline="0" showAll="0" defaultSubtotal="0"/>
    <pivotField dataField="1" compact="0" outline="0" showAll="0" defaultSubtotal="0"/>
    <pivotField compact="0" outline="0" showAll="0" defaultSubtotal="0"/>
    <pivotField compact="0" outline="0" showAll="0" defaultSubtotal="0"/>
    <pivotField compact="0" outline="0" showAll="0" defaultSubtotal="0"/>
  </pivotFields>
  <rowFields count="2">
    <field x="2"/>
    <field x="1"/>
  </rowFields>
  <rowItems count="21">
    <i>
      <x/>
      <x v="16"/>
    </i>
    <i>
      <x v="1"/>
      <x v="1"/>
    </i>
    <i>
      <x v="2"/>
      <x v="7"/>
    </i>
    <i>
      <x v="3"/>
      <x v="17"/>
    </i>
    <i>
      <x v="4"/>
      <x v="12"/>
    </i>
    <i>
      <x v="6"/>
      <x v="9"/>
    </i>
    <i>
      <x v="7"/>
      <x v="3"/>
    </i>
    <i>
      <x v="8"/>
      <x v="13"/>
    </i>
    <i>
      <x v="9"/>
      <x v="2"/>
    </i>
    <i>
      <x v="10"/>
      <x v="14"/>
    </i>
    <i>
      <x v="11"/>
      <x v="8"/>
    </i>
    <i>
      <x v="12"/>
      <x v="4"/>
    </i>
    <i>
      <x v="13"/>
      <x v="15"/>
    </i>
    <i>
      <x v="14"/>
      <x/>
    </i>
    <i>
      <x v="15"/>
      <x v="19"/>
    </i>
    <i>
      <x v="16"/>
      <x v="6"/>
    </i>
    <i>
      <x v="17"/>
      <x v="10"/>
    </i>
    <i>
      <x v="18"/>
      <x v="5"/>
    </i>
    <i>
      <x v="19"/>
      <x v="18"/>
    </i>
    <i>
      <x v="20"/>
      <x v="11"/>
    </i>
    <i t="grand">
      <x/>
    </i>
  </rowItems>
  <colFields count="1">
    <field x="0"/>
  </colFields>
  <colItems count="4">
    <i>
      <x/>
    </i>
    <i>
      <x v="1"/>
    </i>
    <i>
      <x v="2"/>
    </i>
    <i t="grand">
      <x/>
    </i>
  </colItems>
  <dataFields count="1">
    <dataField name="Sum of QuantityOnHand" fld="6" baseField="0" baseItem="0"/>
  </dataFields>
  <conditionalFormats count="1">
    <conditionalFormat priority="1">
      <pivotAreas count="39">
        <pivotArea type="data" collapsedLevelsAreSubtotals="1" fieldPosition="0">
          <references count="4">
            <reference field="4294967294" count="1" selected="0">
              <x v="0"/>
            </reference>
            <reference field="0" count="3" selected="0">
              <x v="0"/>
              <x v="1"/>
              <x v="2"/>
            </reference>
            <reference field="1" count="1">
              <x v="16"/>
            </reference>
            <reference field="2" count="1" selected="0">
              <x v="0"/>
            </reference>
          </references>
        </pivotArea>
        <pivotArea type="data" collapsedLevelsAreSubtotals="1" fieldPosition="0">
          <references count="3">
            <reference field="4294967294" count="1" selected="0">
              <x v="0"/>
            </reference>
            <reference field="0" count="3" selected="0">
              <x v="0"/>
              <x v="1"/>
              <x v="2"/>
            </reference>
            <reference field="2" count="1">
              <x v="1"/>
            </reference>
          </references>
        </pivotArea>
        <pivotArea type="data" collapsedLevelsAreSubtotals="1" fieldPosition="0">
          <references count="4">
            <reference field="4294967294" count="1" selected="0">
              <x v="0"/>
            </reference>
            <reference field="0" count="3" selected="0">
              <x v="0"/>
              <x v="1"/>
              <x v="2"/>
            </reference>
            <reference field="1" count="1">
              <x v="1"/>
            </reference>
            <reference field="2" count="1" selected="0">
              <x v="1"/>
            </reference>
          </references>
        </pivotArea>
        <pivotArea type="data" collapsedLevelsAreSubtotals="1" fieldPosition="0">
          <references count="3">
            <reference field="4294967294" count="1" selected="0">
              <x v="0"/>
            </reference>
            <reference field="0" count="3" selected="0">
              <x v="0"/>
              <x v="1"/>
              <x v="2"/>
            </reference>
            <reference field="2" count="1">
              <x v="2"/>
            </reference>
          </references>
        </pivotArea>
        <pivotArea type="data" collapsedLevelsAreSubtotals="1" fieldPosition="0">
          <references count="4">
            <reference field="4294967294" count="1" selected="0">
              <x v="0"/>
            </reference>
            <reference field="0" count="3" selected="0">
              <x v="0"/>
              <x v="1"/>
              <x v="2"/>
            </reference>
            <reference field="1" count="1">
              <x v="7"/>
            </reference>
            <reference field="2" count="1" selected="0">
              <x v="2"/>
            </reference>
          </references>
        </pivotArea>
        <pivotArea type="data" collapsedLevelsAreSubtotals="1" fieldPosition="0">
          <references count="3">
            <reference field="4294967294" count="1" selected="0">
              <x v="0"/>
            </reference>
            <reference field="0" count="3" selected="0">
              <x v="0"/>
              <x v="1"/>
              <x v="2"/>
            </reference>
            <reference field="2" count="1">
              <x v="3"/>
            </reference>
          </references>
        </pivotArea>
        <pivotArea type="data" collapsedLevelsAreSubtotals="1" fieldPosition="0">
          <references count="4">
            <reference field="4294967294" count="1" selected="0">
              <x v="0"/>
            </reference>
            <reference field="0" count="3" selected="0">
              <x v="0"/>
              <x v="1"/>
              <x v="2"/>
            </reference>
            <reference field="1" count="1">
              <x v="17"/>
            </reference>
            <reference field="2" count="1" selected="0">
              <x v="3"/>
            </reference>
          </references>
        </pivotArea>
        <pivotArea type="data" collapsedLevelsAreSubtotals="1" fieldPosition="0">
          <references count="3">
            <reference field="4294967294" count="1" selected="0">
              <x v="0"/>
            </reference>
            <reference field="0" count="3" selected="0">
              <x v="0"/>
              <x v="1"/>
              <x v="2"/>
            </reference>
            <reference field="2" count="1">
              <x v="4"/>
            </reference>
          </references>
        </pivotArea>
        <pivotArea type="data" collapsedLevelsAreSubtotals="1" fieldPosition="0">
          <references count="4">
            <reference field="4294967294" count="1" selected="0">
              <x v="0"/>
            </reference>
            <reference field="0" count="3" selected="0">
              <x v="0"/>
              <x v="1"/>
              <x v="2"/>
            </reference>
            <reference field="1" count="1">
              <x v="12"/>
            </reference>
            <reference field="2" count="1" selected="0">
              <x v="4"/>
            </reference>
          </references>
        </pivotArea>
        <pivotArea type="data" collapsedLevelsAreSubtotals="1" fieldPosition="0">
          <references count="3">
            <reference field="4294967294" count="1" selected="0">
              <x v="0"/>
            </reference>
            <reference field="0" count="3" selected="0">
              <x v="0"/>
              <x v="1"/>
              <x v="2"/>
            </reference>
            <reference field="2" count="1">
              <x v="6"/>
            </reference>
          </references>
        </pivotArea>
        <pivotArea type="data" collapsedLevelsAreSubtotals="1" fieldPosition="0">
          <references count="4">
            <reference field="4294967294" count="1" selected="0">
              <x v="0"/>
            </reference>
            <reference field="0" count="3" selected="0">
              <x v="0"/>
              <x v="1"/>
              <x v="2"/>
            </reference>
            <reference field="1" count="1">
              <x v="9"/>
            </reference>
            <reference field="2" count="1" selected="0">
              <x v="6"/>
            </reference>
          </references>
        </pivotArea>
        <pivotArea type="data" collapsedLevelsAreSubtotals="1" fieldPosition="0">
          <references count="3">
            <reference field="4294967294" count="1" selected="0">
              <x v="0"/>
            </reference>
            <reference field="0" count="3" selected="0">
              <x v="0"/>
              <x v="1"/>
              <x v="2"/>
            </reference>
            <reference field="2" count="1">
              <x v="7"/>
            </reference>
          </references>
        </pivotArea>
        <pivotArea type="data" collapsedLevelsAreSubtotals="1" fieldPosition="0">
          <references count="4">
            <reference field="4294967294" count="1" selected="0">
              <x v="0"/>
            </reference>
            <reference field="0" count="3" selected="0">
              <x v="0"/>
              <x v="1"/>
              <x v="2"/>
            </reference>
            <reference field="1" count="1">
              <x v="3"/>
            </reference>
            <reference field="2" count="1" selected="0">
              <x v="7"/>
            </reference>
          </references>
        </pivotArea>
        <pivotArea type="data" collapsedLevelsAreSubtotals="1" fieldPosition="0">
          <references count="3">
            <reference field="4294967294" count="1" selected="0">
              <x v="0"/>
            </reference>
            <reference field="0" count="3" selected="0">
              <x v="0"/>
              <x v="1"/>
              <x v="2"/>
            </reference>
            <reference field="2" count="1">
              <x v="8"/>
            </reference>
          </references>
        </pivotArea>
        <pivotArea type="data" collapsedLevelsAreSubtotals="1" fieldPosition="0">
          <references count="4">
            <reference field="4294967294" count="1" selected="0">
              <x v="0"/>
            </reference>
            <reference field="0" count="3" selected="0">
              <x v="0"/>
              <x v="1"/>
              <x v="2"/>
            </reference>
            <reference field="1" count="1">
              <x v="13"/>
            </reference>
            <reference field="2" count="1" selected="0">
              <x v="8"/>
            </reference>
          </references>
        </pivotArea>
        <pivotArea type="data" collapsedLevelsAreSubtotals="1" fieldPosition="0">
          <references count="3">
            <reference field="4294967294" count="1" selected="0">
              <x v="0"/>
            </reference>
            <reference field="0" count="3" selected="0">
              <x v="0"/>
              <x v="1"/>
              <x v="2"/>
            </reference>
            <reference field="2" count="1">
              <x v="9"/>
            </reference>
          </references>
        </pivotArea>
        <pivotArea type="data" collapsedLevelsAreSubtotals="1" fieldPosition="0">
          <references count="4">
            <reference field="4294967294" count="1" selected="0">
              <x v="0"/>
            </reference>
            <reference field="0" count="3" selected="0">
              <x v="0"/>
              <x v="1"/>
              <x v="2"/>
            </reference>
            <reference field="1" count="1">
              <x v="2"/>
            </reference>
            <reference field="2" count="1" selected="0">
              <x v="9"/>
            </reference>
          </references>
        </pivotArea>
        <pivotArea type="data" collapsedLevelsAreSubtotals="1" fieldPosition="0">
          <references count="3">
            <reference field="4294967294" count="1" selected="0">
              <x v="0"/>
            </reference>
            <reference field="0" count="3" selected="0">
              <x v="0"/>
              <x v="1"/>
              <x v="2"/>
            </reference>
            <reference field="2" count="1">
              <x v="10"/>
            </reference>
          </references>
        </pivotArea>
        <pivotArea type="data" collapsedLevelsAreSubtotals="1" fieldPosition="0">
          <references count="4">
            <reference field="4294967294" count="1" selected="0">
              <x v="0"/>
            </reference>
            <reference field="0" count="3" selected="0">
              <x v="0"/>
              <x v="1"/>
              <x v="2"/>
            </reference>
            <reference field="1" count="1">
              <x v="14"/>
            </reference>
            <reference field="2" count="1" selected="0">
              <x v="10"/>
            </reference>
          </references>
        </pivotArea>
        <pivotArea type="data" collapsedLevelsAreSubtotals="1" fieldPosition="0">
          <references count="3">
            <reference field="4294967294" count="1" selected="0">
              <x v="0"/>
            </reference>
            <reference field="0" count="3" selected="0">
              <x v="0"/>
              <x v="1"/>
              <x v="2"/>
            </reference>
            <reference field="2" count="1">
              <x v="11"/>
            </reference>
          </references>
        </pivotArea>
        <pivotArea type="data" collapsedLevelsAreSubtotals="1" fieldPosition="0">
          <references count="4">
            <reference field="4294967294" count="1" selected="0">
              <x v="0"/>
            </reference>
            <reference field="0" count="3" selected="0">
              <x v="0"/>
              <x v="1"/>
              <x v="2"/>
            </reference>
            <reference field="1" count="1">
              <x v="8"/>
            </reference>
            <reference field="2" count="1" selected="0">
              <x v="11"/>
            </reference>
          </references>
        </pivotArea>
        <pivotArea type="data" collapsedLevelsAreSubtotals="1" fieldPosition="0">
          <references count="3">
            <reference field="4294967294" count="1" selected="0">
              <x v="0"/>
            </reference>
            <reference field="0" count="3" selected="0">
              <x v="0"/>
              <x v="1"/>
              <x v="2"/>
            </reference>
            <reference field="2" count="1">
              <x v="12"/>
            </reference>
          </references>
        </pivotArea>
        <pivotArea type="data" collapsedLevelsAreSubtotals="1" fieldPosition="0">
          <references count="4">
            <reference field="4294967294" count="1" selected="0">
              <x v="0"/>
            </reference>
            <reference field="0" count="3" selected="0">
              <x v="0"/>
              <x v="1"/>
              <x v="2"/>
            </reference>
            <reference field="1" count="1">
              <x v="4"/>
            </reference>
            <reference field="2" count="1" selected="0">
              <x v="12"/>
            </reference>
          </references>
        </pivotArea>
        <pivotArea type="data" collapsedLevelsAreSubtotals="1" fieldPosition="0">
          <references count="3">
            <reference field="4294967294" count="1" selected="0">
              <x v="0"/>
            </reference>
            <reference field="0" count="3" selected="0">
              <x v="0"/>
              <x v="1"/>
              <x v="2"/>
            </reference>
            <reference field="2" count="1">
              <x v="13"/>
            </reference>
          </references>
        </pivotArea>
        <pivotArea type="data" collapsedLevelsAreSubtotals="1" fieldPosition="0">
          <references count="4">
            <reference field="4294967294" count="1" selected="0">
              <x v="0"/>
            </reference>
            <reference field="0" count="3" selected="0">
              <x v="0"/>
              <x v="1"/>
              <x v="2"/>
            </reference>
            <reference field="1" count="1">
              <x v="15"/>
            </reference>
            <reference field="2" count="1" selected="0">
              <x v="13"/>
            </reference>
          </references>
        </pivotArea>
        <pivotArea type="data" collapsedLevelsAreSubtotals="1" fieldPosition="0">
          <references count="3">
            <reference field="4294967294" count="1" selected="0">
              <x v="0"/>
            </reference>
            <reference field="0" count="3" selected="0">
              <x v="0"/>
              <x v="1"/>
              <x v="2"/>
            </reference>
            <reference field="2" count="1">
              <x v="14"/>
            </reference>
          </references>
        </pivotArea>
        <pivotArea type="data" collapsedLevelsAreSubtotals="1" fieldPosition="0">
          <references count="4">
            <reference field="4294967294" count="1" selected="0">
              <x v="0"/>
            </reference>
            <reference field="0" count="3" selected="0">
              <x v="0"/>
              <x v="1"/>
              <x v="2"/>
            </reference>
            <reference field="1" count="1">
              <x v="0"/>
            </reference>
            <reference field="2" count="1" selected="0">
              <x v="14"/>
            </reference>
          </references>
        </pivotArea>
        <pivotArea type="data" collapsedLevelsAreSubtotals="1" fieldPosition="0">
          <references count="3">
            <reference field="4294967294" count="1" selected="0">
              <x v="0"/>
            </reference>
            <reference field="0" count="3" selected="0">
              <x v="0"/>
              <x v="1"/>
              <x v="2"/>
            </reference>
            <reference field="2" count="1">
              <x v="15"/>
            </reference>
          </references>
        </pivotArea>
        <pivotArea type="data" collapsedLevelsAreSubtotals="1" fieldPosition="0">
          <references count="4">
            <reference field="4294967294" count="1" selected="0">
              <x v="0"/>
            </reference>
            <reference field="0" count="3" selected="0">
              <x v="0"/>
              <x v="1"/>
              <x v="2"/>
            </reference>
            <reference field="1" count="1">
              <x v="19"/>
            </reference>
            <reference field="2" count="1" selected="0">
              <x v="15"/>
            </reference>
          </references>
        </pivotArea>
        <pivotArea type="data" collapsedLevelsAreSubtotals="1" fieldPosition="0">
          <references count="3">
            <reference field="4294967294" count="1" selected="0">
              <x v="0"/>
            </reference>
            <reference field="0" count="3" selected="0">
              <x v="0"/>
              <x v="1"/>
              <x v="2"/>
            </reference>
            <reference field="2" count="1">
              <x v="16"/>
            </reference>
          </references>
        </pivotArea>
        <pivotArea type="data" collapsedLevelsAreSubtotals="1" fieldPosition="0">
          <references count="4">
            <reference field="4294967294" count="1" selected="0">
              <x v="0"/>
            </reference>
            <reference field="0" count="3" selected="0">
              <x v="0"/>
              <x v="1"/>
              <x v="2"/>
            </reference>
            <reference field="1" count="1">
              <x v="6"/>
            </reference>
            <reference field="2" count="1" selected="0">
              <x v="16"/>
            </reference>
          </references>
        </pivotArea>
        <pivotArea type="data" collapsedLevelsAreSubtotals="1" fieldPosition="0">
          <references count="3">
            <reference field="4294967294" count="1" selected="0">
              <x v="0"/>
            </reference>
            <reference field="0" count="3" selected="0">
              <x v="0"/>
              <x v="1"/>
              <x v="2"/>
            </reference>
            <reference field="2" count="1">
              <x v="17"/>
            </reference>
          </references>
        </pivotArea>
        <pivotArea type="data" collapsedLevelsAreSubtotals="1" fieldPosition="0">
          <references count="4">
            <reference field="4294967294" count="1" selected="0">
              <x v="0"/>
            </reference>
            <reference field="0" count="3" selected="0">
              <x v="0"/>
              <x v="1"/>
              <x v="2"/>
            </reference>
            <reference field="1" count="1">
              <x v="10"/>
            </reference>
            <reference field="2" count="1" selected="0">
              <x v="17"/>
            </reference>
          </references>
        </pivotArea>
        <pivotArea type="data" collapsedLevelsAreSubtotals="1" fieldPosition="0">
          <references count="3">
            <reference field="4294967294" count="1" selected="0">
              <x v="0"/>
            </reference>
            <reference field="0" count="3" selected="0">
              <x v="0"/>
              <x v="1"/>
              <x v="2"/>
            </reference>
            <reference field="2" count="1">
              <x v="18"/>
            </reference>
          </references>
        </pivotArea>
        <pivotArea type="data" collapsedLevelsAreSubtotals="1" fieldPosition="0">
          <references count="4">
            <reference field="4294967294" count="1" selected="0">
              <x v="0"/>
            </reference>
            <reference field="0" count="3" selected="0">
              <x v="0"/>
              <x v="1"/>
              <x v="2"/>
            </reference>
            <reference field="1" count="1">
              <x v="5"/>
            </reference>
            <reference field="2" count="1" selected="0">
              <x v="18"/>
            </reference>
          </references>
        </pivotArea>
        <pivotArea type="data" collapsedLevelsAreSubtotals="1" fieldPosition="0">
          <references count="3">
            <reference field="4294967294" count="1" selected="0">
              <x v="0"/>
            </reference>
            <reference field="0" count="3" selected="0">
              <x v="0"/>
              <x v="1"/>
              <x v="2"/>
            </reference>
            <reference field="2" count="1">
              <x v="19"/>
            </reference>
          </references>
        </pivotArea>
        <pivotArea type="data" collapsedLevelsAreSubtotals="1" fieldPosition="0">
          <references count="4">
            <reference field="4294967294" count="1" selected="0">
              <x v="0"/>
            </reference>
            <reference field="0" count="3" selected="0">
              <x v="0"/>
              <x v="1"/>
              <x v="2"/>
            </reference>
            <reference field="1" count="1">
              <x v="18"/>
            </reference>
            <reference field="2" count="1" selected="0">
              <x v="19"/>
            </reference>
          </references>
        </pivotArea>
        <pivotArea type="data" collapsedLevelsAreSubtotals="1" fieldPosition="0">
          <references count="3">
            <reference field="4294967294" count="1" selected="0">
              <x v="0"/>
            </reference>
            <reference field="0" count="3" selected="0">
              <x v="0"/>
              <x v="1"/>
              <x v="2"/>
            </reference>
            <reference field="2" count="1">
              <x v="20"/>
            </reference>
          </references>
        </pivotArea>
        <pivotArea type="data" collapsedLevelsAreSubtotals="1" fieldPosition="0">
          <references count="4">
            <reference field="4294967294" count="1" selected="0">
              <x v="0"/>
            </reference>
            <reference field="0" count="3" selected="0">
              <x v="0"/>
              <x v="1"/>
              <x v="2"/>
            </reference>
            <reference field="1" count="1">
              <x v="11"/>
            </reference>
            <reference field="2" count="1" selected="0">
              <x v="20"/>
            </reference>
          </references>
        </pivotArea>
      </pivotAreas>
    </conditionalFormat>
  </conditional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upplier" sourceName="Supplier">
  <pivotTables>
    <pivotTable tabId="4" name="Orders_Table"/>
  </pivotTables>
  <data>
    <tabular pivotCacheId="1">
      <items count="10">
        <i x="7" s="1"/>
        <i x="0" s="1"/>
        <i x="5" s="1"/>
        <i x="2" s="1"/>
        <i x="6" s="1"/>
        <i x="4" s="1"/>
        <i x="3" s="1"/>
        <i x="9" s="1"/>
        <i x="8"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upplier" cache="Slicer_Supplier" caption="Supplier" style="SlicerStyleLight3" rowHeight="234950"/>
</slicers>
</file>

<file path=xl/tables/table1.xml><?xml version="1.0" encoding="utf-8"?>
<table xmlns="http://schemas.openxmlformats.org/spreadsheetml/2006/main" id="4" name="Inventory" displayName="Inventory" ref="B6:K66" totalsRowShown="0" headerRowDxfId="34" headerRowBorderDxfId="35" tableBorderDxfId="36">
  <autoFilter ref="B6:K66"/>
  <tableColumns count="10">
    <tableColumn id="1" name="Site"/>
    <tableColumn id="2" name="ProductID"/>
    <tableColumn id="3" name="Product Description" dataDxfId="30">
      <calculatedColumnFormula>VLOOKUP(Inventory[[#This Row],[ProductID]],Products[#All],2,FALSE)</calculatedColumnFormula>
    </tableColumn>
    <tableColumn id="4" name="Supplier" dataDxfId="33">
      <calculatedColumnFormula>VLOOKUP( Inventory[[#This Row],[ProductID]],Products[#All],6,FALSE)</calculatedColumnFormula>
    </tableColumn>
    <tableColumn id="5" name="Cost/Unit" dataDxfId="3">
      <calculatedColumnFormula>VLOOKUP(Inventory[[#This Row],[ProductID]],Products[#All],4,FALSE)</calculatedColumnFormula>
    </tableColumn>
    <tableColumn id="6" name="Reorder Level" dataDxfId="32">
      <calculatedColumnFormula>VLOOKUP(Inventory[[#This Row],[ProductID]],Products[#All],5,FALSE)</calculatedColumnFormula>
    </tableColumn>
    <tableColumn id="7" name="QuantityOnHand" dataDxfId="31">
      <calculatedColumnFormula>SUMIFS(Transactions[Quantity], Transactions[ProductID],Inventory[[#This Row],[ProductID]], Transactions[Site], Inventory[[#This Row],[Site]])</calculatedColumnFormula>
    </tableColumn>
    <tableColumn id="8" name="Stock Value" dataDxfId="2">
      <calculatedColumnFormula>Inventory[[#This Row],[Cost/Unit]]*Inventory[[#This Row],[QuantityOnHand]]</calculatedColumnFormula>
    </tableColumn>
    <tableColumn id="9" name="Reorder" dataDxfId="4">
      <calculatedColumnFormula>IF(Inventory[[#This Row],[QuantityOnHand]]&lt;=Inventory[[#This Row],[Reorder Level]], "Yes", "No")</calculatedColumnFormula>
    </tableColumn>
    <tableColumn id="10" name="Order Date"/>
  </tableColumns>
  <tableStyleInfo name="TableStyleMedium11" showFirstColumn="0" showLastColumn="0" showRowStripes="1" showColumnStripes="0"/>
</table>
</file>

<file path=xl/tables/table2.xml><?xml version="1.0" encoding="utf-8"?>
<table xmlns="http://schemas.openxmlformats.org/spreadsheetml/2006/main" id="2" name="Transactions" displayName="Transactions" ref="B3:G86" totalsRowShown="0" headerRowDxfId="29" headerRowBorderDxfId="27" tableBorderDxfId="28">
  <autoFilter ref="B3:G86"/>
  <tableColumns count="6">
    <tableColumn id="1" name="TransID"/>
    <tableColumn id="2" name="Date" dataDxfId="26" dataCellStyle="Currency"/>
    <tableColumn id="3" name="ProductID"/>
    <tableColumn id="4" name="Site"/>
    <tableColumn id="5" name="Quantity"/>
    <tableColumn id="6" name="Type"/>
  </tableColumns>
  <tableStyleInfo name="TableStyleMedium15" showFirstColumn="0" showLastColumn="0" showRowStripes="1" showColumnStripes="0"/>
</table>
</file>

<file path=xl/tables/table3.xml><?xml version="1.0" encoding="utf-8"?>
<table xmlns="http://schemas.openxmlformats.org/spreadsheetml/2006/main" id="1" name="Products" displayName="Products" ref="A3:F23" totalsRowShown="0" headerRowDxfId="43" dataDxfId="42">
  <autoFilter ref="A3:F23"/>
  <tableColumns count="6">
    <tableColumn id="1" name="ProductID" dataDxfId="41"/>
    <tableColumn id="2" name="ProductName" dataDxfId="40"/>
    <tableColumn id="3" name="Category" dataDxfId="39"/>
    <tableColumn id="6" name="Cost/Unit" dataDxfId="0"/>
    <tableColumn id="5" name="ReorderLevel" dataDxfId="38"/>
    <tableColumn id="7" name="Supplier" dataDxfId="37"/>
  </tableColumns>
  <tableStyleInfo name="TableStyleMedium11" showFirstColumn="0" showLastColumn="0" showRowStripes="1" showColumnStripes="0"/>
</table>
</file>

<file path=xl/tables/table4.xml><?xml version="1.0" encoding="utf-8"?>
<table xmlns="http://schemas.openxmlformats.org/spreadsheetml/2006/main" id="6" name="New_Transactions" displayName="New_Transactions" ref="A1:F13" totalsRowShown="0">
  <autoFilter ref="A1:F13"/>
  <tableColumns count="6">
    <tableColumn id="1" name="TransID"/>
    <tableColumn id="2" name="Date" dataDxfId="25"/>
    <tableColumn id="3" name="ProductID"/>
    <tableColumn id="4" name="Site"/>
    <tableColumn id="5" name="Quantity"/>
    <tableColumn id="6" name="Type"/>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V66"/>
  <sheetViews>
    <sheetView tabSelected="1" zoomScale="98" workbookViewId="0">
      <selection activeCell="H18" sqref="H18"/>
    </sheetView>
  </sheetViews>
  <sheetFormatPr defaultRowHeight="14.4" x14ac:dyDescent="0.3"/>
  <cols>
    <col min="1" max="1" width="6.88671875" bestFit="1" customWidth="1"/>
    <col min="2" max="2" width="9.88671875" bestFit="1" customWidth="1"/>
    <col min="3" max="3" width="16.33203125" bestFit="1" customWidth="1"/>
    <col min="4" max="4" width="29.88671875" bestFit="1" customWidth="1"/>
    <col min="5" max="5" width="21.77734375" bestFit="1" customWidth="1"/>
    <col min="6" max="6" width="15.5546875" bestFit="1" customWidth="1"/>
    <col min="7" max="7" width="20.77734375" bestFit="1" customWidth="1"/>
    <col min="8" max="8" width="23.77734375" bestFit="1" customWidth="1"/>
    <col min="9" max="9" width="18.44140625" bestFit="1" customWidth="1"/>
    <col min="10" max="10" width="13.77734375" bestFit="1" customWidth="1"/>
    <col min="11" max="11" width="17" bestFit="1" customWidth="1"/>
    <col min="13" max="13" width="6.88671875" bestFit="1" customWidth="1"/>
    <col min="14" max="14" width="11.6640625" bestFit="1" customWidth="1"/>
    <col min="15" max="15" width="20.88671875" bestFit="1" customWidth="1"/>
    <col min="16" max="16" width="11" bestFit="1" customWidth="1"/>
    <col min="17" max="17" width="11.33203125" bestFit="1" customWidth="1"/>
    <col min="18" max="18" width="14.6640625" bestFit="1" customWidth="1"/>
    <col min="19" max="19" width="17.5546875" bestFit="1" customWidth="1"/>
    <col min="20" max="20" width="13.109375" bestFit="1" customWidth="1"/>
    <col min="21" max="21" width="9.88671875" bestFit="1" customWidth="1"/>
  </cols>
  <sheetData>
    <row r="3" spans="2:22" x14ac:dyDescent="0.3">
      <c r="B3" s="15" t="s">
        <v>176</v>
      </c>
      <c r="C3" s="16"/>
      <c r="D3" s="16"/>
      <c r="E3" s="17">
        <f>SUM(Inventory[Stock Value])</f>
        <v>5785.5</v>
      </c>
      <c r="F3" s="17"/>
    </row>
    <row r="4" spans="2:22" x14ac:dyDescent="0.3">
      <c r="B4" s="15"/>
      <c r="C4" s="16"/>
      <c r="D4" s="16"/>
      <c r="E4" s="17"/>
      <c r="F4" s="17"/>
    </row>
    <row r="6" spans="2:22" x14ac:dyDescent="0.3">
      <c r="B6" s="5" t="s">
        <v>0</v>
      </c>
      <c r="C6" s="5" t="s">
        <v>1</v>
      </c>
      <c r="D6" s="6" t="s">
        <v>149</v>
      </c>
      <c r="E6" s="6" t="s">
        <v>35</v>
      </c>
      <c r="F6" s="5" t="s">
        <v>2</v>
      </c>
      <c r="G6" s="5" t="s">
        <v>3</v>
      </c>
      <c r="H6" s="5" t="s">
        <v>4</v>
      </c>
      <c r="I6" s="5" t="s">
        <v>5</v>
      </c>
      <c r="J6" s="5" t="s">
        <v>6</v>
      </c>
      <c r="K6" s="5" t="s">
        <v>7</v>
      </c>
      <c r="O6" s="9"/>
      <c r="P6" s="9"/>
    </row>
    <row r="7" spans="2:22" x14ac:dyDescent="0.3">
      <c r="B7" t="s">
        <v>8</v>
      </c>
      <c r="C7" t="s">
        <v>9</v>
      </c>
      <c r="D7" t="str">
        <f>VLOOKUP(Inventory[[#This Row],[ProductID]],Products[#All],2,FALSE)</f>
        <v>Rainbow Socks</v>
      </c>
      <c r="E7" t="str">
        <f>VLOOKUP( Inventory[[#This Row],[ProductID]],Products[#All],6,FALSE)</f>
        <v>CozyWear Co.</v>
      </c>
      <c r="F7" s="18">
        <f>VLOOKUP(Inventory[[#This Row],[ProductID]],Products[#All],4,FALSE)</f>
        <v>8.5</v>
      </c>
      <c r="G7" s="8">
        <f>VLOOKUP(Inventory[[#This Row],[ProductID]],Products[#All],5,FALSE)</f>
        <v>20</v>
      </c>
      <c r="H7">
        <f>SUMIFS(Transactions[Quantity], Transactions[ProductID],Inventory[[#This Row],[ProductID]], Transactions[Site], Inventory[[#This Row],[Site]])</f>
        <v>48</v>
      </c>
      <c r="I7" s="18">
        <f>Inventory[[#This Row],[Cost/Unit]]*Inventory[[#This Row],[QuantityOnHand]]</f>
        <v>408</v>
      </c>
      <c r="J7" t="str">
        <f>IF(Inventory[[#This Row],[QuantityOnHand]]&lt;=Inventory[[#This Row],[Reorder Level]], "Yes", "No")</f>
        <v>No</v>
      </c>
      <c r="O7" s="9"/>
      <c r="P7" s="9"/>
      <c r="Q7" s="9"/>
      <c r="R7" s="9"/>
      <c r="T7" s="9"/>
    </row>
    <row r="8" spans="2:22" x14ac:dyDescent="0.3">
      <c r="B8" t="s">
        <v>10</v>
      </c>
      <c r="C8" t="s">
        <v>9</v>
      </c>
      <c r="D8" t="str">
        <f>VLOOKUP(Inventory[[#This Row],[ProductID]],Products[#All],2,FALSE)</f>
        <v>Rainbow Socks</v>
      </c>
      <c r="E8" t="str">
        <f>VLOOKUP( Inventory[[#This Row],[ProductID]],Products[#All],6,FALSE)</f>
        <v>CozyWear Co.</v>
      </c>
      <c r="F8" s="18">
        <f>VLOOKUP(Inventory[[#This Row],[ProductID]],Products[#All],4,FALSE)</f>
        <v>8.5</v>
      </c>
      <c r="G8" s="8">
        <f>VLOOKUP(Inventory[[#This Row],[ProductID]],Products[#All],5,FALSE)</f>
        <v>20</v>
      </c>
      <c r="H8">
        <f>SUMIFS(Transactions[Quantity], Transactions[ProductID],Inventory[[#This Row],[ProductID]], Transactions[Site], Inventory[[#This Row],[Site]])</f>
        <v>30</v>
      </c>
      <c r="I8" s="18">
        <f>Inventory[[#This Row],[Cost/Unit]]*Inventory[[#This Row],[QuantityOnHand]]</f>
        <v>255</v>
      </c>
      <c r="J8" t="str">
        <f>IF(Inventory[[#This Row],[QuantityOnHand]]&lt;=Inventory[[#This Row],[Reorder Level]], "Yes", "No")</f>
        <v>No</v>
      </c>
      <c r="O8" s="9"/>
      <c r="P8" s="9"/>
      <c r="Q8" s="9"/>
      <c r="R8" s="10"/>
      <c r="T8" s="9"/>
    </row>
    <row r="9" spans="2:22" x14ac:dyDescent="0.3">
      <c r="B9" t="s">
        <v>11</v>
      </c>
      <c r="C9" t="s">
        <v>9</v>
      </c>
      <c r="D9" t="str">
        <f>VLOOKUP(Inventory[[#This Row],[ProductID]],Products[#All],2,FALSE)</f>
        <v>Rainbow Socks</v>
      </c>
      <c r="E9" t="str">
        <f>VLOOKUP( Inventory[[#This Row],[ProductID]],Products[#All],6,FALSE)</f>
        <v>CozyWear Co.</v>
      </c>
      <c r="F9" s="18">
        <f>VLOOKUP(Inventory[[#This Row],[ProductID]],Products[#All],4,FALSE)</f>
        <v>8.5</v>
      </c>
      <c r="G9" s="8">
        <f>VLOOKUP(Inventory[[#This Row],[ProductID]],Products[#All],5,FALSE)</f>
        <v>20</v>
      </c>
      <c r="H9">
        <f>SUMIFS(Transactions[Quantity], Transactions[ProductID],Inventory[[#This Row],[ProductID]], Transactions[Site], Inventory[[#This Row],[Site]])</f>
        <v>40</v>
      </c>
      <c r="I9" s="18">
        <f>Inventory[[#This Row],[Cost/Unit]]*Inventory[[#This Row],[QuantityOnHand]]</f>
        <v>340</v>
      </c>
      <c r="J9" t="str">
        <f>IF(Inventory[[#This Row],[QuantityOnHand]]&lt;=Inventory[[#This Row],[Reorder Level]], "Yes", "No")</f>
        <v>No</v>
      </c>
      <c r="O9" s="9"/>
      <c r="P9" s="9"/>
      <c r="Q9" s="9"/>
      <c r="R9" s="10"/>
      <c r="T9" s="9"/>
    </row>
    <row r="10" spans="2:22" x14ac:dyDescent="0.3">
      <c r="B10" t="s">
        <v>8</v>
      </c>
      <c r="C10" t="s">
        <v>12</v>
      </c>
      <c r="D10" t="str">
        <f>VLOOKUP(Inventory[[#This Row],[ProductID]],Products[#All],2,FALSE)</f>
        <v>Bubble Tea Kit</v>
      </c>
      <c r="E10" t="str">
        <f>VLOOKUP( Inventory[[#This Row],[ProductID]],Products[#All],6,FALSE)</f>
        <v>Tasty Treats Ltd.</v>
      </c>
      <c r="F10" s="18">
        <f>VLOOKUP(Inventory[[#This Row],[ProductID]],Products[#All],4,FALSE)</f>
        <v>12</v>
      </c>
      <c r="G10" s="8">
        <f>VLOOKUP(Inventory[[#This Row],[ProductID]],Products[#All],5,FALSE)</f>
        <v>15</v>
      </c>
      <c r="H10">
        <f>SUMIFS(Transactions[Quantity], Transactions[ProductID],Inventory[[#This Row],[ProductID]], Transactions[Site], Inventory[[#This Row],[Site]])</f>
        <v>19</v>
      </c>
      <c r="I10" s="18">
        <f>Inventory[[#This Row],[Cost/Unit]]*Inventory[[#This Row],[QuantityOnHand]]</f>
        <v>228</v>
      </c>
      <c r="J10" t="str">
        <f>IF(Inventory[[#This Row],[QuantityOnHand]]&lt;=Inventory[[#This Row],[Reorder Level]], "Yes", "No")</f>
        <v>No</v>
      </c>
      <c r="O10" s="9"/>
      <c r="P10" s="9"/>
      <c r="Q10" s="9"/>
      <c r="R10" s="10"/>
      <c r="T10" s="9"/>
    </row>
    <row r="11" spans="2:22" x14ac:dyDescent="0.3">
      <c r="B11" t="s">
        <v>10</v>
      </c>
      <c r="C11" t="s">
        <v>12</v>
      </c>
      <c r="D11" t="str">
        <f>VLOOKUP(Inventory[[#This Row],[ProductID]],Products[#All],2,FALSE)</f>
        <v>Bubble Tea Kit</v>
      </c>
      <c r="E11" t="str">
        <f>VLOOKUP( Inventory[[#This Row],[ProductID]],Products[#All],6,FALSE)</f>
        <v>Tasty Treats Ltd.</v>
      </c>
      <c r="F11" s="18">
        <f>VLOOKUP(Inventory[[#This Row],[ProductID]],Products[#All],4,FALSE)</f>
        <v>12</v>
      </c>
      <c r="G11" s="8">
        <f>VLOOKUP(Inventory[[#This Row],[ProductID]],Products[#All],5,FALSE)</f>
        <v>15</v>
      </c>
      <c r="H11">
        <f>SUMIFS(Transactions[Quantity], Transactions[ProductID],Inventory[[#This Row],[ProductID]], Transactions[Site], Inventory[[#This Row],[Site]])</f>
        <v>20</v>
      </c>
      <c r="I11" s="18">
        <f>Inventory[[#This Row],[Cost/Unit]]*Inventory[[#This Row],[QuantityOnHand]]</f>
        <v>240</v>
      </c>
      <c r="J11" t="str">
        <f>IF(Inventory[[#This Row],[QuantityOnHand]]&lt;=Inventory[[#This Row],[Reorder Level]], "Yes", "No")</f>
        <v>No</v>
      </c>
      <c r="O11" s="9"/>
      <c r="P11" s="9"/>
      <c r="Q11" s="9"/>
      <c r="R11" s="10"/>
      <c r="T11" s="9"/>
    </row>
    <row r="12" spans="2:22" x14ac:dyDescent="0.3">
      <c r="B12" t="s">
        <v>11</v>
      </c>
      <c r="C12" t="s">
        <v>12</v>
      </c>
      <c r="D12" t="str">
        <f>VLOOKUP(Inventory[[#This Row],[ProductID]],Products[#All],2,FALSE)</f>
        <v>Bubble Tea Kit</v>
      </c>
      <c r="E12" t="str">
        <f>VLOOKUP( Inventory[[#This Row],[ProductID]],Products[#All],6,FALSE)</f>
        <v>Tasty Treats Ltd.</v>
      </c>
      <c r="F12" s="18">
        <f>VLOOKUP(Inventory[[#This Row],[ProductID]],Products[#All],4,FALSE)</f>
        <v>12</v>
      </c>
      <c r="G12" s="8">
        <f>VLOOKUP(Inventory[[#This Row],[ProductID]],Products[#All],5,FALSE)</f>
        <v>15</v>
      </c>
      <c r="H12">
        <f>SUMIFS(Transactions[Quantity], Transactions[ProductID],Inventory[[#This Row],[ProductID]], Transactions[Site], Inventory[[#This Row],[Site]])</f>
        <v>29</v>
      </c>
      <c r="I12" s="18">
        <f>Inventory[[#This Row],[Cost/Unit]]*Inventory[[#This Row],[QuantityOnHand]]</f>
        <v>348</v>
      </c>
      <c r="J12" t="str">
        <f>IF(Inventory[[#This Row],[QuantityOnHand]]&lt;=Inventory[[#This Row],[Reorder Level]], "Yes", "No")</f>
        <v>No</v>
      </c>
      <c r="O12" s="9"/>
      <c r="P12" s="9"/>
      <c r="Q12" s="9"/>
      <c r="R12" s="10"/>
      <c r="T12" s="9"/>
      <c r="V12" s="1"/>
    </row>
    <row r="13" spans="2:22" x14ac:dyDescent="0.3">
      <c r="B13" t="s">
        <v>8</v>
      </c>
      <c r="C13" t="s">
        <v>13</v>
      </c>
      <c r="D13" t="str">
        <f>VLOOKUP(Inventory[[#This Row],[ProductID]],Products[#All],2,FALSE)</f>
        <v>LED Fidget Spinner</v>
      </c>
      <c r="E13" t="str">
        <f>VLOOKUP( Inventory[[#This Row],[ProductID]],Products[#All],6,FALSE)</f>
        <v>FunZone Imports</v>
      </c>
      <c r="F13" s="18">
        <f>VLOOKUP(Inventory[[#This Row],[ProductID]],Products[#All],4,FALSE)</f>
        <v>6</v>
      </c>
      <c r="G13" s="8">
        <f>VLOOKUP(Inventory[[#This Row],[ProductID]],Products[#All],5,FALSE)</f>
        <v>10</v>
      </c>
      <c r="H13">
        <f>SUMIFS(Transactions[Quantity], Transactions[ProductID],Inventory[[#This Row],[ProductID]], Transactions[Site], Inventory[[#This Row],[Site]])</f>
        <v>22</v>
      </c>
      <c r="I13" s="18">
        <f>Inventory[[#This Row],[Cost/Unit]]*Inventory[[#This Row],[QuantityOnHand]]</f>
        <v>132</v>
      </c>
      <c r="J13" t="str">
        <f>IF(Inventory[[#This Row],[QuantityOnHand]]&lt;=Inventory[[#This Row],[Reorder Level]], "Yes", "No")</f>
        <v>No</v>
      </c>
      <c r="O13" s="9"/>
      <c r="P13" s="9"/>
      <c r="Q13" s="9"/>
      <c r="R13" s="10"/>
      <c r="T13" s="9"/>
    </row>
    <row r="14" spans="2:22" x14ac:dyDescent="0.3">
      <c r="B14" t="s">
        <v>10</v>
      </c>
      <c r="C14" t="s">
        <v>13</v>
      </c>
      <c r="D14" t="str">
        <f>VLOOKUP(Inventory[[#This Row],[ProductID]],Products[#All],2,FALSE)</f>
        <v>LED Fidget Spinner</v>
      </c>
      <c r="E14" t="str">
        <f>VLOOKUP( Inventory[[#This Row],[ProductID]],Products[#All],6,FALSE)</f>
        <v>FunZone Imports</v>
      </c>
      <c r="F14" s="18">
        <f>VLOOKUP(Inventory[[#This Row],[ProductID]],Products[#All],4,FALSE)</f>
        <v>6</v>
      </c>
      <c r="G14" s="8">
        <f>VLOOKUP(Inventory[[#This Row],[ProductID]],Products[#All],5,FALSE)</f>
        <v>10</v>
      </c>
      <c r="H14">
        <f>SUMIFS(Transactions[Quantity], Transactions[ProductID],Inventory[[#This Row],[ProductID]], Transactions[Site], Inventory[[#This Row],[Site]])</f>
        <v>30</v>
      </c>
      <c r="I14" s="18">
        <f>Inventory[[#This Row],[Cost/Unit]]*Inventory[[#This Row],[QuantityOnHand]]</f>
        <v>180</v>
      </c>
      <c r="J14" t="str">
        <f>IF(Inventory[[#This Row],[QuantityOnHand]]&lt;=Inventory[[#This Row],[Reorder Level]], "Yes", "No")</f>
        <v>No</v>
      </c>
      <c r="O14" s="9"/>
      <c r="P14" s="9"/>
      <c r="Q14" s="9"/>
      <c r="R14" s="10"/>
      <c r="T14" s="9"/>
    </row>
    <row r="15" spans="2:22" x14ac:dyDescent="0.3">
      <c r="B15" t="s">
        <v>11</v>
      </c>
      <c r="C15" t="s">
        <v>13</v>
      </c>
      <c r="D15" t="str">
        <f>VLOOKUP(Inventory[[#This Row],[ProductID]],Products[#All],2,FALSE)</f>
        <v>LED Fidget Spinner</v>
      </c>
      <c r="E15" t="str">
        <f>VLOOKUP( Inventory[[#This Row],[ProductID]],Products[#All],6,FALSE)</f>
        <v>FunZone Imports</v>
      </c>
      <c r="F15" s="18">
        <f>VLOOKUP(Inventory[[#This Row],[ProductID]],Products[#All],4,FALSE)</f>
        <v>6</v>
      </c>
      <c r="G15" s="8">
        <f>VLOOKUP(Inventory[[#This Row],[ProductID]],Products[#All],5,FALSE)</f>
        <v>10</v>
      </c>
      <c r="H15">
        <f>SUMIFS(Transactions[Quantity], Transactions[ProductID],Inventory[[#This Row],[ProductID]], Transactions[Site], Inventory[[#This Row],[Site]])</f>
        <v>10</v>
      </c>
      <c r="I15" s="18">
        <f>Inventory[[#This Row],[Cost/Unit]]*Inventory[[#This Row],[QuantityOnHand]]</f>
        <v>60</v>
      </c>
      <c r="J15" s="7" t="str">
        <f>IF(Inventory[[#This Row],[QuantityOnHand]]&lt;=Inventory[[#This Row],[Reorder Level]], "Yes", "No")</f>
        <v>Yes</v>
      </c>
      <c r="K15" s="1">
        <v>46064</v>
      </c>
      <c r="O15" s="9"/>
      <c r="P15" s="9"/>
      <c r="Q15" s="9"/>
      <c r="R15" s="10"/>
      <c r="T15" s="9"/>
      <c r="V15" s="1"/>
    </row>
    <row r="16" spans="2:22" x14ac:dyDescent="0.3">
      <c r="B16" t="s">
        <v>8</v>
      </c>
      <c r="C16" t="s">
        <v>15</v>
      </c>
      <c r="D16" t="str">
        <f>VLOOKUP(Inventory[[#This Row],[ProductID]],Products[#All],2,FALSE)</f>
        <v>Gourmet Popcorn Pack</v>
      </c>
      <c r="E16" t="str">
        <f>VLOOKUP( Inventory[[#This Row],[ProductID]],Products[#All],6,FALSE)</f>
        <v>Snack Masters</v>
      </c>
      <c r="F16" s="18">
        <f>VLOOKUP(Inventory[[#This Row],[ProductID]],Products[#All],4,FALSE)</f>
        <v>5.5</v>
      </c>
      <c r="G16" s="8">
        <f>VLOOKUP(Inventory[[#This Row],[ProductID]],Products[#All],5,FALSE)</f>
        <v>25</v>
      </c>
      <c r="H16">
        <f>SUMIFS(Transactions[Quantity], Transactions[ProductID],Inventory[[#This Row],[ProductID]], Transactions[Site], Inventory[[#This Row],[Site]])</f>
        <v>35</v>
      </c>
      <c r="I16" s="18">
        <f>Inventory[[#This Row],[Cost/Unit]]*Inventory[[#This Row],[QuantityOnHand]]</f>
        <v>192.5</v>
      </c>
      <c r="J16" t="str">
        <f>IF(Inventory[[#This Row],[QuantityOnHand]]&lt;=Inventory[[#This Row],[Reorder Level]], "Yes", "No")</f>
        <v>No</v>
      </c>
      <c r="O16" s="9"/>
      <c r="P16" s="9"/>
      <c r="Q16" s="9"/>
      <c r="R16" s="10"/>
      <c r="T16" s="9"/>
    </row>
    <row r="17" spans="2:22" x14ac:dyDescent="0.3">
      <c r="B17" t="s">
        <v>10</v>
      </c>
      <c r="C17" t="s">
        <v>15</v>
      </c>
      <c r="D17" t="str">
        <f>VLOOKUP(Inventory[[#This Row],[ProductID]],Products[#All],2,FALSE)</f>
        <v>Gourmet Popcorn Pack</v>
      </c>
      <c r="E17" t="str">
        <f>VLOOKUP( Inventory[[#This Row],[ProductID]],Products[#All],6,FALSE)</f>
        <v>Snack Masters</v>
      </c>
      <c r="F17" s="18">
        <f>VLOOKUP(Inventory[[#This Row],[ProductID]],Products[#All],4,FALSE)</f>
        <v>5.5</v>
      </c>
      <c r="G17" s="8">
        <f>VLOOKUP(Inventory[[#This Row],[ProductID]],Products[#All],5,FALSE)</f>
        <v>25</v>
      </c>
      <c r="H17">
        <f>SUMIFS(Transactions[Quantity], Transactions[ProductID],Inventory[[#This Row],[ProductID]], Transactions[Site], Inventory[[#This Row],[Site]])</f>
        <v>20</v>
      </c>
      <c r="I17" s="18">
        <f>Inventory[[#This Row],[Cost/Unit]]*Inventory[[#This Row],[QuantityOnHand]]</f>
        <v>110</v>
      </c>
      <c r="J17" s="7" t="str">
        <f>IF(Inventory[[#This Row],[QuantityOnHand]]&lt;=Inventory[[#This Row],[Reorder Level]], "Yes", "No")</f>
        <v>Yes</v>
      </c>
      <c r="K17" s="1">
        <v>46064</v>
      </c>
      <c r="O17" s="9"/>
      <c r="P17" s="9"/>
      <c r="Q17" s="9"/>
      <c r="R17" s="10"/>
      <c r="T17" s="9"/>
      <c r="V17" s="1"/>
    </row>
    <row r="18" spans="2:22" x14ac:dyDescent="0.3">
      <c r="B18" t="s">
        <v>11</v>
      </c>
      <c r="C18" t="s">
        <v>15</v>
      </c>
      <c r="D18" t="str">
        <f>VLOOKUP(Inventory[[#This Row],[ProductID]],Products[#All],2,FALSE)</f>
        <v>Gourmet Popcorn Pack</v>
      </c>
      <c r="E18" t="str">
        <f>VLOOKUP( Inventory[[#This Row],[ProductID]],Products[#All],6,FALSE)</f>
        <v>Snack Masters</v>
      </c>
      <c r="F18" s="18">
        <f>VLOOKUP(Inventory[[#This Row],[ProductID]],Products[#All],4,FALSE)</f>
        <v>5.5</v>
      </c>
      <c r="G18" s="8">
        <f>VLOOKUP(Inventory[[#This Row],[ProductID]],Products[#All],5,FALSE)</f>
        <v>25</v>
      </c>
      <c r="H18">
        <f>SUMIFS(Transactions[Quantity], Transactions[ProductID],Inventory[[#This Row],[ProductID]], Transactions[Site], Inventory[[#This Row],[Site]])</f>
        <v>18</v>
      </c>
      <c r="I18" s="18">
        <f>Inventory[[#This Row],[Cost/Unit]]*Inventory[[#This Row],[QuantityOnHand]]</f>
        <v>99</v>
      </c>
      <c r="J18" s="7" t="str">
        <f>IF(Inventory[[#This Row],[QuantityOnHand]]&lt;=Inventory[[#This Row],[Reorder Level]], "Yes", "No")</f>
        <v>Yes</v>
      </c>
      <c r="K18" s="1">
        <v>46064</v>
      </c>
      <c r="O18" s="9"/>
      <c r="P18" s="9"/>
      <c r="Q18" s="9"/>
      <c r="R18" s="10"/>
      <c r="T18" s="9"/>
      <c r="V18" s="1"/>
    </row>
    <row r="19" spans="2:22" x14ac:dyDescent="0.3">
      <c r="B19" t="s">
        <v>8</v>
      </c>
      <c r="C19" t="s">
        <v>16</v>
      </c>
      <c r="D19" t="str">
        <f>VLOOKUP(Inventory[[#This Row],[ProductID]],Products[#All],2,FALSE)</f>
        <v>Pocket Notebook</v>
      </c>
      <c r="E19" t="str">
        <f>VLOOKUP( Inventory[[#This Row],[ProductID]],Products[#All],6,FALSE)</f>
        <v>PaperWorks Supplies</v>
      </c>
      <c r="F19" s="18">
        <f>VLOOKUP(Inventory[[#This Row],[ProductID]],Products[#All],4,FALSE)</f>
        <v>3</v>
      </c>
      <c r="G19" s="8">
        <f>VLOOKUP(Inventory[[#This Row],[ProductID]],Products[#All],5,FALSE)</f>
        <v>30</v>
      </c>
      <c r="H19">
        <f>SUMIFS(Transactions[Quantity], Transactions[ProductID],Inventory[[#This Row],[ProductID]], Transactions[Site], Inventory[[#This Row],[Site]])</f>
        <v>27</v>
      </c>
      <c r="I19" s="18">
        <f>Inventory[[#This Row],[Cost/Unit]]*Inventory[[#This Row],[QuantityOnHand]]</f>
        <v>81</v>
      </c>
      <c r="J19" t="str">
        <f>IF(Inventory[[#This Row],[QuantityOnHand]]&lt;=Inventory[[#This Row],[Reorder Level]], "Yes", "No")</f>
        <v>Yes</v>
      </c>
      <c r="K19" s="1">
        <v>46065</v>
      </c>
      <c r="O19" s="9"/>
      <c r="P19" s="9"/>
      <c r="Q19" s="9"/>
      <c r="R19" s="10"/>
      <c r="T19" s="9"/>
    </row>
    <row r="20" spans="2:22" x14ac:dyDescent="0.3">
      <c r="B20" t="s">
        <v>10</v>
      </c>
      <c r="C20" t="s">
        <v>16</v>
      </c>
      <c r="D20" t="str">
        <f>VLOOKUP(Inventory[[#This Row],[ProductID]],Products[#All],2,FALSE)</f>
        <v>Pocket Notebook</v>
      </c>
      <c r="E20" t="str">
        <f>VLOOKUP( Inventory[[#This Row],[ProductID]],Products[#All],6,FALSE)</f>
        <v>PaperWorks Supplies</v>
      </c>
      <c r="F20" s="18">
        <f>VLOOKUP(Inventory[[#This Row],[ProductID]],Products[#All],4,FALSE)</f>
        <v>3</v>
      </c>
      <c r="G20" s="8">
        <f>VLOOKUP(Inventory[[#This Row],[ProductID]],Products[#All],5,FALSE)</f>
        <v>30</v>
      </c>
      <c r="H20">
        <f>SUMIFS(Transactions[Quantity], Transactions[ProductID],Inventory[[#This Row],[ProductID]], Transactions[Site], Inventory[[#This Row],[Site]])</f>
        <v>50</v>
      </c>
      <c r="I20" s="18">
        <f>Inventory[[#This Row],[Cost/Unit]]*Inventory[[#This Row],[QuantityOnHand]]</f>
        <v>150</v>
      </c>
      <c r="J20" t="str">
        <f>IF(Inventory[[#This Row],[QuantityOnHand]]&lt;=Inventory[[#This Row],[Reorder Level]], "Yes", "No")</f>
        <v>No</v>
      </c>
      <c r="O20" s="9"/>
      <c r="P20" s="9"/>
      <c r="Q20" s="9"/>
      <c r="R20" s="10"/>
      <c r="T20" s="9"/>
    </row>
    <row r="21" spans="2:22" x14ac:dyDescent="0.3">
      <c r="B21" t="s">
        <v>11</v>
      </c>
      <c r="C21" t="s">
        <v>16</v>
      </c>
      <c r="D21" t="str">
        <f>VLOOKUP(Inventory[[#This Row],[ProductID]],Products[#All],2,FALSE)</f>
        <v>Pocket Notebook</v>
      </c>
      <c r="E21" t="str">
        <f>VLOOKUP( Inventory[[#This Row],[ProductID]],Products[#All],6,FALSE)</f>
        <v>PaperWorks Supplies</v>
      </c>
      <c r="F21" s="18">
        <f>VLOOKUP(Inventory[[#This Row],[ProductID]],Products[#All],4,FALSE)</f>
        <v>3</v>
      </c>
      <c r="G21" s="8">
        <f>VLOOKUP(Inventory[[#This Row],[ProductID]],Products[#All],5,FALSE)</f>
        <v>30</v>
      </c>
      <c r="H21">
        <f>SUMIFS(Transactions[Quantity], Transactions[ProductID],Inventory[[#This Row],[ProductID]], Transactions[Site], Inventory[[#This Row],[Site]])</f>
        <v>35</v>
      </c>
      <c r="I21" s="18">
        <f>Inventory[[#This Row],[Cost/Unit]]*Inventory[[#This Row],[QuantityOnHand]]</f>
        <v>105</v>
      </c>
      <c r="J21" t="str">
        <f>IF(Inventory[[#This Row],[QuantityOnHand]]&lt;=Inventory[[#This Row],[Reorder Level]], "Yes", "No")</f>
        <v>No</v>
      </c>
      <c r="O21" s="9"/>
      <c r="P21" s="9"/>
      <c r="Q21" s="9"/>
      <c r="R21" s="10"/>
      <c r="T21" s="9"/>
    </row>
    <row r="22" spans="2:22" x14ac:dyDescent="0.3">
      <c r="B22" t="s">
        <v>8</v>
      </c>
      <c r="C22" t="s">
        <v>17</v>
      </c>
      <c r="D22" t="str">
        <f>VLOOKUP(Inventory[[#This Row],[ProductID]],Products[#All],2,FALSE)</f>
        <v>Slime DIY Kit</v>
      </c>
      <c r="E22" t="str">
        <f>VLOOKUP( Inventory[[#This Row],[ProductID]],Products[#All],6,FALSE)</f>
        <v>FunZone Imports</v>
      </c>
      <c r="F22" s="18">
        <f>VLOOKUP(Inventory[[#This Row],[ProductID]],Products[#All],4,FALSE)</f>
        <v>9</v>
      </c>
      <c r="G22" s="8">
        <f>VLOOKUP(Inventory[[#This Row],[ProductID]],Products[#All],5,FALSE)</f>
        <v>12</v>
      </c>
      <c r="H22">
        <f>SUMIFS(Transactions[Quantity], Transactions[ProductID],Inventory[[#This Row],[ProductID]], Transactions[Site], Inventory[[#This Row],[Site]])</f>
        <v>20</v>
      </c>
      <c r="I22" s="18">
        <f>Inventory[[#This Row],[Cost/Unit]]*Inventory[[#This Row],[QuantityOnHand]]</f>
        <v>180</v>
      </c>
      <c r="J22" t="str">
        <f>IF(Inventory[[#This Row],[QuantityOnHand]]&lt;=Inventory[[#This Row],[Reorder Level]], "Yes", "No")</f>
        <v>No</v>
      </c>
      <c r="O22" s="9"/>
      <c r="P22" s="9"/>
      <c r="Q22" s="9"/>
      <c r="R22" s="10"/>
      <c r="T22" s="9"/>
    </row>
    <row r="23" spans="2:22" x14ac:dyDescent="0.3">
      <c r="B23" t="s">
        <v>10</v>
      </c>
      <c r="C23" t="s">
        <v>17</v>
      </c>
      <c r="D23" t="str">
        <f>VLOOKUP(Inventory[[#This Row],[ProductID]],Products[#All],2,FALSE)</f>
        <v>Slime DIY Kit</v>
      </c>
      <c r="E23" t="str">
        <f>VLOOKUP( Inventory[[#This Row],[ProductID]],Products[#All],6,FALSE)</f>
        <v>FunZone Imports</v>
      </c>
      <c r="F23" s="18">
        <f>VLOOKUP(Inventory[[#This Row],[ProductID]],Products[#All],4,FALSE)</f>
        <v>9</v>
      </c>
      <c r="G23" s="8">
        <f>VLOOKUP(Inventory[[#This Row],[ProductID]],Products[#All],5,FALSE)</f>
        <v>12</v>
      </c>
      <c r="H23">
        <f>SUMIFS(Transactions[Quantity], Transactions[ProductID],Inventory[[#This Row],[ProductID]], Transactions[Site], Inventory[[#This Row],[Site]])</f>
        <v>13</v>
      </c>
      <c r="I23" s="18">
        <f>Inventory[[#This Row],[Cost/Unit]]*Inventory[[#This Row],[QuantityOnHand]]</f>
        <v>117</v>
      </c>
      <c r="J23" t="str">
        <f>IF(Inventory[[#This Row],[QuantityOnHand]]&lt;=Inventory[[#This Row],[Reorder Level]], "Yes", "No")</f>
        <v>No</v>
      </c>
      <c r="O23" s="9"/>
      <c r="P23" s="9"/>
      <c r="Q23" s="9"/>
      <c r="R23" s="10"/>
      <c r="T23" s="9"/>
    </row>
    <row r="24" spans="2:22" x14ac:dyDescent="0.3">
      <c r="B24" t="s">
        <v>11</v>
      </c>
      <c r="C24" t="s">
        <v>17</v>
      </c>
      <c r="D24" t="str">
        <f>VLOOKUP(Inventory[[#This Row],[ProductID]],Products[#All],2,FALSE)</f>
        <v>Slime DIY Kit</v>
      </c>
      <c r="E24" t="str">
        <f>VLOOKUP( Inventory[[#This Row],[ProductID]],Products[#All],6,FALSE)</f>
        <v>FunZone Imports</v>
      </c>
      <c r="F24" s="18">
        <f>VLOOKUP(Inventory[[#This Row],[ProductID]],Products[#All],4,FALSE)</f>
        <v>9</v>
      </c>
      <c r="G24" s="8">
        <f>VLOOKUP(Inventory[[#This Row],[ProductID]],Products[#All],5,FALSE)</f>
        <v>12</v>
      </c>
      <c r="H24">
        <f>SUMIFS(Transactions[Quantity], Transactions[ProductID],Inventory[[#This Row],[ProductID]], Transactions[Site], Inventory[[#This Row],[Site]])</f>
        <v>22</v>
      </c>
      <c r="I24" s="18">
        <f>Inventory[[#This Row],[Cost/Unit]]*Inventory[[#This Row],[QuantityOnHand]]</f>
        <v>198</v>
      </c>
      <c r="J24" s="7" t="str">
        <f>IF(Inventory[[#This Row],[QuantityOnHand]]&lt;=Inventory[[#This Row],[Reorder Level]], "Yes", "No")</f>
        <v>No</v>
      </c>
      <c r="K24" s="1"/>
      <c r="O24" s="9"/>
      <c r="P24" s="9"/>
      <c r="Q24" s="9"/>
      <c r="R24" s="10"/>
      <c r="T24" s="9"/>
      <c r="V24" s="1"/>
    </row>
    <row r="25" spans="2:22" x14ac:dyDescent="0.3">
      <c r="B25" t="s">
        <v>8</v>
      </c>
      <c r="C25" t="s">
        <v>18</v>
      </c>
      <c r="D25" t="str">
        <f>VLOOKUP(Inventory[[#This Row],[ProductID]],Products[#All],2,FALSE)</f>
        <v>Reusable Water Bottle</v>
      </c>
      <c r="E25" t="str">
        <f>VLOOKUP( Inventory[[#This Row],[ProductID]],Products[#All],6,FALSE)</f>
        <v>EcoLiving Pty Ltd.</v>
      </c>
      <c r="F25" s="18">
        <f>VLOOKUP(Inventory[[#This Row],[ProductID]],Products[#All],4,FALSE)</f>
        <v>15</v>
      </c>
      <c r="G25" s="8">
        <f>VLOOKUP(Inventory[[#This Row],[ProductID]],Products[#All],5,FALSE)</f>
        <v>20</v>
      </c>
      <c r="H25">
        <f>SUMIFS(Transactions[Quantity], Transactions[ProductID],Inventory[[#This Row],[ProductID]], Transactions[Site], Inventory[[#This Row],[Site]])</f>
        <v>25</v>
      </c>
      <c r="I25" s="18">
        <f>Inventory[[#This Row],[Cost/Unit]]*Inventory[[#This Row],[QuantityOnHand]]</f>
        <v>375</v>
      </c>
      <c r="J25" t="str">
        <f>IF(Inventory[[#This Row],[QuantityOnHand]]&lt;=Inventory[[#This Row],[Reorder Level]], "Yes", "No")</f>
        <v>No</v>
      </c>
      <c r="O25" s="9"/>
      <c r="P25" s="9"/>
      <c r="Q25" s="9"/>
      <c r="R25" s="10"/>
      <c r="T25" s="9"/>
    </row>
    <row r="26" spans="2:22" x14ac:dyDescent="0.3">
      <c r="B26" t="s">
        <v>10</v>
      </c>
      <c r="C26" t="s">
        <v>18</v>
      </c>
      <c r="D26" t="str">
        <f>VLOOKUP(Inventory[[#This Row],[ProductID]],Products[#All],2,FALSE)</f>
        <v>Reusable Water Bottle</v>
      </c>
      <c r="E26" t="str">
        <f>VLOOKUP( Inventory[[#This Row],[ProductID]],Products[#All],6,FALSE)</f>
        <v>EcoLiving Pty Ltd.</v>
      </c>
      <c r="F26" s="18">
        <f>VLOOKUP(Inventory[[#This Row],[ProductID]],Products[#All],4,FALSE)</f>
        <v>15</v>
      </c>
      <c r="G26" s="8">
        <f>VLOOKUP(Inventory[[#This Row],[ProductID]],Products[#All],5,FALSE)</f>
        <v>20</v>
      </c>
      <c r="H26">
        <f>SUMIFS(Transactions[Quantity], Transactions[ProductID],Inventory[[#This Row],[ProductID]], Transactions[Site], Inventory[[#This Row],[Site]])</f>
        <v>25</v>
      </c>
      <c r="I26" s="18">
        <f>Inventory[[#This Row],[Cost/Unit]]*Inventory[[#This Row],[QuantityOnHand]]</f>
        <v>375</v>
      </c>
      <c r="J26" t="str">
        <f>IF(Inventory[[#This Row],[QuantityOnHand]]&lt;=Inventory[[#This Row],[Reorder Level]], "Yes", "No")</f>
        <v>No</v>
      </c>
      <c r="O26" s="9"/>
      <c r="P26" s="9"/>
      <c r="Q26" s="9"/>
      <c r="R26" s="10"/>
      <c r="T26" s="9"/>
    </row>
    <row r="27" spans="2:22" x14ac:dyDescent="0.3">
      <c r="B27" t="s">
        <v>11</v>
      </c>
      <c r="C27" t="s">
        <v>18</v>
      </c>
      <c r="D27" t="str">
        <f>VLOOKUP(Inventory[[#This Row],[ProductID]],Products[#All],2,FALSE)</f>
        <v>Reusable Water Bottle</v>
      </c>
      <c r="E27" t="str">
        <f>VLOOKUP( Inventory[[#This Row],[ProductID]],Products[#All],6,FALSE)</f>
        <v>EcoLiving Pty Ltd.</v>
      </c>
      <c r="F27" s="18">
        <f>VLOOKUP(Inventory[[#This Row],[ProductID]],Products[#All],4,FALSE)</f>
        <v>15</v>
      </c>
      <c r="G27" s="8">
        <f>VLOOKUP(Inventory[[#This Row],[ProductID]],Products[#All],5,FALSE)</f>
        <v>20</v>
      </c>
      <c r="H27">
        <f>SUMIFS(Transactions[Quantity], Transactions[ProductID],Inventory[[#This Row],[ProductID]], Transactions[Site], Inventory[[#This Row],[Site]])</f>
        <v>20</v>
      </c>
      <c r="I27" s="18">
        <f>Inventory[[#This Row],[Cost/Unit]]*Inventory[[#This Row],[QuantityOnHand]]</f>
        <v>300</v>
      </c>
      <c r="J27" s="7" t="str">
        <f>IF(Inventory[[#This Row],[QuantityOnHand]]&lt;=Inventory[[#This Row],[Reorder Level]], "Yes", "No")</f>
        <v>Yes</v>
      </c>
      <c r="K27" s="1">
        <v>46064</v>
      </c>
      <c r="O27" s="9"/>
      <c r="P27" s="9"/>
      <c r="Q27" s="9"/>
      <c r="R27" s="10"/>
      <c r="T27" s="9"/>
      <c r="V27" s="1"/>
    </row>
    <row r="28" spans="2:22" x14ac:dyDescent="0.3">
      <c r="B28" t="s">
        <v>8</v>
      </c>
      <c r="C28" t="s">
        <v>19</v>
      </c>
      <c r="D28" t="str">
        <f>VLOOKUP(Inventory[[#This Row],[ProductID]],Products[#All],2,FALSE)</f>
        <v>Chocolate Pretzel Mix</v>
      </c>
      <c r="E28" t="str">
        <f>VLOOKUP( Inventory[[#This Row],[ProductID]],Products[#All],6,FALSE)</f>
        <v>Snack Masters</v>
      </c>
      <c r="F28" s="18">
        <f>VLOOKUP(Inventory[[#This Row],[ProductID]],Products[#All],4,FALSE)</f>
        <v>4.5</v>
      </c>
      <c r="G28" s="8">
        <f>VLOOKUP(Inventory[[#This Row],[ProductID]],Products[#All],5,FALSE)</f>
        <v>25</v>
      </c>
      <c r="H28">
        <f>SUMIFS(Transactions[Quantity], Transactions[ProductID],Inventory[[#This Row],[ProductID]], Transactions[Site], Inventory[[#This Row],[Site]])</f>
        <v>3</v>
      </c>
      <c r="I28" s="18">
        <f>Inventory[[#This Row],[Cost/Unit]]*Inventory[[#This Row],[QuantityOnHand]]</f>
        <v>13.5</v>
      </c>
      <c r="J28" s="7" t="str">
        <f>IF(Inventory[[#This Row],[QuantityOnHand]]&lt;=Inventory[[#This Row],[Reorder Level]], "Yes", "No")</f>
        <v>Yes</v>
      </c>
      <c r="K28" s="1">
        <v>46064</v>
      </c>
      <c r="O28" s="9"/>
      <c r="P28" s="9"/>
      <c r="Q28" s="9"/>
      <c r="R28" s="10"/>
      <c r="T28" s="9"/>
      <c r="V28" s="1"/>
    </row>
    <row r="29" spans="2:22" x14ac:dyDescent="0.3">
      <c r="B29" t="s">
        <v>10</v>
      </c>
      <c r="C29" t="s">
        <v>19</v>
      </c>
      <c r="D29" t="str">
        <f>VLOOKUP(Inventory[[#This Row],[ProductID]],Products[#All],2,FALSE)</f>
        <v>Chocolate Pretzel Mix</v>
      </c>
      <c r="E29" t="str">
        <f>VLOOKUP( Inventory[[#This Row],[ProductID]],Products[#All],6,FALSE)</f>
        <v>Snack Masters</v>
      </c>
      <c r="F29" s="18">
        <f>VLOOKUP(Inventory[[#This Row],[ProductID]],Products[#All],4,FALSE)</f>
        <v>4.5</v>
      </c>
      <c r="G29" s="8">
        <f>VLOOKUP(Inventory[[#This Row],[ProductID]],Products[#All],5,FALSE)</f>
        <v>25</v>
      </c>
      <c r="H29">
        <f>SUMIFS(Transactions[Quantity], Transactions[ProductID],Inventory[[#This Row],[ProductID]], Transactions[Site], Inventory[[#This Row],[Site]])</f>
        <v>3</v>
      </c>
      <c r="I29" s="18">
        <f>Inventory[[#This Row],[Cost/Unit]]*Inventory[[#This Row],[QuantityOnHand]]</f>
        <v>13.5</v>
      </c>
      <c r="J29" s="7" t="str">
        <f>IF(Inventory[[#This Row],[QuantityOnHand]]&lt;=Inventory[[#This Row],[Reorder Level]], "Yes", "No")</f>
        <v>Yes</v>
      </c>
      <c r="K29" s="1">
        <v>46064</v>
      </c>
      <c r="O29" s="9"/>
      <c r="P29" s="9"/>
      <c r="Q29" s="9"/>
      <c r="R29" s="10"/>
      <c r="T29" s="9"/>
      <c r="V29" s="1"/>
    </row>
    <row r="30" spans="2:22" x14ac:dyDescent="0.3">
      <c r="B30" t="s">
        <v>11</v>
      </c>
      <c r="C30" t="s">
        <v>19</v>
      </c>
      <c r="D30" t="str">
        <f>VLOOKUP(Inventory[[#This Row],[ProductID]],Products[#All],2,FALSE)</f>
        <v>Chocolate Pretzel Mix</v>
      </c>
      <c r="E30" t="str">
        <f>VLOOKUP( Inventory[[#This Row],[ProductID]],Products[#All],6,FALSE)</f>
        <v>Snack Masters</v>
      </c>
      <c r="F30" s="18">
        <f>VLOOKUP(Inventory[[#This Row],[ProductID]],Products[#All],4,FALSE)</f>
        <v>4.5</v>
      </c>
      <c r="G30" s="8">
        <f>VLOOKUP(Inventory[[#This Row],[ProductID]],Products[#All],5,FALSE)</f>
        <v>25</v>
      </c>
      <c r="H30">
        <f>SUMIFS(Transactions[Quantity], Transactions[ProductID],Inventory[[#This Row],[ProductID]], Transactions[Site], Inventory[[#This Row],[Site]])</f>
        <v>1</v>
      </c>
      <c r="I30" s="18">
        <f>Inventory[[#This Row],[Cost/Unit]]*Inventory[[#This Row],[QuantityOnHand]]</f>
        <v>4.5</v>
      </c>
      <c r="J30" s="7" t="str">
        <f>IF(Inventory[[#This Row],[QuantityOnHand]]&lt;=Inventory[[#This Row],[Reorder Level]], "Yes", "No")</f>
        <v>Yes</v>
      </c>
      <c r="K30" s="1">
        <v>46064</v>
      </c>
      <c r="O30" s="9"/>
      <c r="P30" s="9"/>
      <c r="Q30" s="9"/>
      <c r="R30" s="10"/>
      <c r="T30" s="9"/>
      <c r="V30" s="1"/>
    </row>
    <row r="31" spans="2:22" x14ac:dyDescent="0.3">
      <c r="B31" t="s">
        <v>8</v>
      </c>
      <c r="C31" t="s">
        <v>20</v>
      </c>
      <c r="D31" t="str">
        <f>VLOOKUP(Inventory[[#This Row],[ProductID]],Products[#All],2,FALSE)</f>
        <v>Mini Desk Plant</v>
      </c>
      <c r="E31" t="str">
        <f>VLOOKUP( Inventory[[#This Row],[ProductID]],Products[#All],6,FALSE)</f>
        <v>GreenThumb Supplies</v>
      </c>
      <c r="F31" s="18">
        <f>VLOOKUP(Inventory[[#This Row],[ProductID]],Products[#All],4,FALSE)</f>
        <v>10</v>
      </c>
      <c r="G31" s="8">
        <f>VLOOKUP(Inventory[[#This Row],[ProductID]],Products[#All],5,FALSE)</f>
        <v>8</v>
      </c>
      <c r="H31">
        <f>SUMIFS(Transactions[Quantity], Transactions[ProductID],Inventory[[#This Row],[ProductID]], Transactions[Site], Inventory[[#This Row],[Site]])</f>
        <v>0</v>
      </c>
      <c r="I31" s="18">
        <f>Inventory[[#This Row],[Cost/Unit]]*Inventory[[#This Row],[QuantityOnHand]]</f>
        <v>0</v>
      </c>
      <c r="J31" s="7" t="str">
        <f>IF(Inventory[[#This Row],[QuantityOnHand]]&lt;=Inventory[[#This Row],[Reorder Level]], "Yes", "No")</f>
        <v>Yes</v>
      </c>
      <c r="K31" s="1">
        <v>46064</v>
      </c>
      <c r="O31" s="9"/>
      <c r="P31" s="9"/>
      <c r="Q31" s="9"/>
      <c r="R31" s="10"/>
      <c r="T31" s="9"/>
      <c r="V31" s="1"/>
    </row>
    <row r="32" spans="2:22" x14ac:dyDescent="0.3">
      <c r="B32" t="s">
        <v>10</v>
      </c>
      <c r="C32" t="s">
        <v>20</v>
      </c>
      <c r="D32" t="str">
        <f>VLOOKUP(Inventory[[#This Row],[ProductID]],Products[#All],2,FALSE)</f>
        <v>Mini Desk Plant</v>
      </c>
      <c r="E32" t="str">
        <f>VLOOKUP( Inventory[[#This Row],[ProductID]],Products[#All],6,FALSE)</f>
        <v>GreenThumb Supplies</v>
      </c>
      <c r="F32" s="18">
        <f>VLOOKUP(Inventory[[#This Row],[ProductID]],Products[#All],4,FALSE)</f>
        <v>10</v>
      </c>
      <c r="G32" s="8">
        <f>VLOOKUP(Inventory[[#This Row],[ProductID]],Products[#All],5,FALSE)</f>
        <v>8</v>
      </c>
      <c r="H32">
        <f>SUMIFS(Transactions[Quantity], Transactions[ProductID],Inventory[[#This Row],[ProductID]], Transactions[Site], Inventory[[#This Row],[Site]])</f>
        <v>1</v>
      </c>
      <c r="I32" s="18">
        <f>Inventory[[#This Row],[Cost/Unit]]*Inventory[[#This Row],[QuantityOnHand]]</f>
        <v>10</v>
      </c>
      <c r="J32" s="7" t="str">
        <f>IF(Inventory[[#This Row],[QuantityOnHand]]&lt;=Inventory[[#This Row],[Reorder Level]], "Yes", "No")</f>
        <v>Yes</v>
      </c>
      <c r="K32" s="1">
        <v>46064</v>
      </c>
      <c r="O32" s="9"/>
      <c r="P32" s="9"/>
      <c r="Q32" s="9"/>
      <c r="R32" s="10"/>
      <c r="T32" s="9"/>
      <c r="V32" s="1"/>
    </row>
    <row r="33" spans="2:22" x14ac:dyDescent="0.3">
      <c r="B33" t="s">
        <v>11</v>
      </c>
      <c r="C33" t="s">
        <v>20</v>
      </c>
      <c r="D33" t="str">
        <f>VLOOKUP(Inventory[[#This Row],[ProductID]],Products[#All],2,FALSE)</f>
        <v>Mini Desk Plant</v>
      </c>
      <c r="E33" t="str">
        <f>VLOOKUP( Inventory[[#This Row],[ProductID]],Products[#All],6,FALSE)</f>
        <v>GreenThumb Supplies</v>
      </c>
      <c r="F33" s="18">
        <f>VLOOKUP(Inventory[[#This Row],[ProductID]],Products[#All],4,FALSE)</f>
        <v>10</v>
      </c>
      <c r="G33" s="8">
        <f>VLOOKUP(Inventory[[#This Row],[ProductID]],Products[#All],5,FALSE)</f>
        <v>8</v>
      </c>
      <c r="H33">
        <f>SUMIFS(Transactions[Quantity], Transactions[ProductID],Inventory[[#This Row],[ProductID]], Transactions[Site], Inventory[[#This Row],[Site]])</f>
        <v>1</v>
      </c>
      <c r="I33" s="18">
        <f>Inventory[[#This Row],[Cost/Unit]]*Inventory[[#This Row],[QuantityOnHand]]</f>
        <v>10</v>
      </c>
      <c r="J33" s="7" t="str">
        <f>IF(Inventory[[#This Row],[QuantityOnHand]]&lt;=Inventory[[#This Row],[Reorder Level]], "Yes", "No")</f>
        <v>Yes</v>
      </c>
      <c r="K33" s="1">
        <v>46064</v>
      </c>
      <c r="O33" s="9"/>
      <c r="P33" s="9"/>
      <c r="Q33" s="9"/>
      <c r="R33" s="10"/>
      <c r="T33" s="9"/>
      <c r="V33" s="1"/>
    </row>
    <row r="34" spans="2:22" x14ac:dyDescent="0.3">
      <c r="B34" t="s">
        <v>8</v>
      </c>
      <c r="C34" t="s">
        <v>21</v>
      </c>
      <c r="D34" t="str">
        <f>VLOOKUP(Inventory[[#This Row],[ProductID]],Products[#All],2,FALSE)</f>
        <v>Glow-in-the-Dark Mug</v>
      </c>
      <c r="E34" t="str">
        <f>VLOOKUP( Inventory[[#This Row],[ProductID]],Products[#All],6,FALSE)</f>
        <v>CozyHome Traders</v>
      </c>
      <c r="F34" s="18">
        <f>VLOOKUP(Inventory[[#This Row],[ProductID]],Products[#All],4,FALSE)</f>
        <v>11.5</v>
      </c>
      <c r="G34" s="8">
        <f>VLOOKUP(Inventory[[#This Row],[ProductID]],Products[#All],5,FALSE)</f>
        <v>10</v>
      </c>
      <c r="H34">
        <f>SUMIFS(Transactions[Quantity], Transactions[ProductID],Inventory[[#This Row],[ProductID]], Transactions[Site], Inventory[[#This Row],[Site]])</f>
        <v>11</v>
      </c>
      <c r="I34" s="18">
        <f>Inventory[[#This Row],[Cost/Unit]]*Inventory[[#This Row],[QuantityOnHand]]</f>
        <v>126.5</v>
      </c>
      <c r="J34" s="7" t="str">
        <f>IF(Inventory[[#This Row],[QuantityOnHand]]&lt;=Inventory[[#This Row],[Reorder Level]], "Yes", "No")</f>
        <v>No</v>
      </c>
      <c r="K34" s="1"/>
      <c r="O34" s="9"/>
      <c r="P34" s="9"/>
      <c r="Q34" s="9"/>
      <c r="R34" s="10"/>
      <c r="T34" s="9"/>
      <c r="V34" s="1"/>
    </row>
    <row r="35" spans="2:22" x14ac:dyDescent="0.3">
      <c r="B35" t="s">
        <v>10</v>
      </c>
      <c r="C35" t="s">
        <v>21</v>
      </c>
      <c r="D35" t="str">
        <f>VLOOKUP(Inventory[[#This Row],[ProductID]],Products[#All],2,FALSE)</f>
        <v>Glow-in-the-Dark Mug</v>
      </c>
      <c r="E35" t="str">
        <f>VLOOKUP( Inventory[[#This Row],[ProductID]],Products[#All],6,FALSE)</f>
        <v>CozyHome Traders</v>
      </c>
      <c r="F35" s="18">
        <f>VLOOKUP(Inventory[[#This Row],[ProductID]],Products[#All],4,FALSE)</f>
        <v>11.5</v>
      </c>
      <c r="G35" s="8">
        <f>VLOOKUP(Inventory[[#This Row],[ProductID]],Products[#All],5,FALSE)</f>
        <v>10</v>
      </c>
      <c r="H35">
        <f>SUMIFS(Transactions[Quantity], Transactions[ProductID],Inventory[[#This Row],[ProductID]], Transactions[Site], Inventory[[#This Row],[Site]])</f>
        <v>10</v>
      </c>
      <c r="I35" s="18">
        <f>Inventory[[#This Row],[Cost/Unit]]*Inventory[[#This Row],[QuantityOnHand]]</f>
        <v>115</v>
      </c>
      <c r="J35" s="7" t="str">
        <f>IF(Inventory[[#This Row],[QuantityOnHand]]&lt;=Inventory[[#This Row],[Reorder Level]], "Yes", "No")</f>
        <v>Yes</v>
      </c>
      <c r="K35" s="1">
        <v>46064</v>
      </c>
      <c r="O35" s="9"/>
      <c r="P35" s="9"/>
      <c r="Q35" s="9"/>
      <c r="R35" s="10"/>
      <c r="T35" s="9"/>
      <c r="V35" s="1"/>
    </row>
    <row r="36" spans="2:22" x14ac:dyDescent="0.3">
      <c r="B36" t="s">
        <v>11</v>
      </c>
      <c r="C36" t="s">
        <v>21</v>
      </c>
      <c r="D36" t="str">
        <f>VLOOKUP(Inventory[[#This Row],[ProductID]],Products[#All],2,FALSE)</f>
        <v>Glow-in-the-Dark Mug</v>
      </c>
      <c r="E36" t="str">
        <f>VLOOKUP( Inventory[[#This Row],[ProductID]],Products[#All],6,FALSE)</f>
        <v>CozyHome Traders</v>
      </c>
      <c r="F36" s="18">
        <f>VLOOKUP(Inventory[[#This Row],[ProductID]],Products[#All],4,FALSE)</f>
        <v>11.5</v>
      </c>
      <c r="G36" s="8">
        <f>VLOOKUP(Inventory[[#This Row],[ProductID]],Products[#All],5,FALSE)</f>
        <v>10</v>
      </c>
      <c r="H36">
        <f>SUMIFS(Transactions[Quantity], Transactions[ProductID],Inventory[[#This Row],[ProductID]], Transactions[Site], Inventory[[#This Row],[Site]])</f>
        <v>1</v>
      </c>
      <c r="I36" s="18">
        <f>Inventory[[#This Row],[Cost/Unit]]*Inventory[[#This Row],[QuantityOnHand]]</f>
        <v>11.5</v>
      </c>
      <c r="J36" s="7" t="str">
        <f>IF(Inventory[[#This Row],[QuantityOnHand]]&lt;=Inventory[[#This Row],[Reorder Level]], "Yes", "No")</f>
        <v>Yes</v>
      </c>
      <c r="K36" s="1">
        <v>46064</v>
      </c>
      <c r="O36" s="9"/>
      <c r="P36" s="9"/>
      <c r="Q36" s="9"/>
      <c r="R36" s="10"/>
      <c r="T36" s="9"/>
      <c r="V36" s="1"/>
    </row>
    <row r="37" spans="2:22" x14ac:dyDescent="0.3">
      <c r="B37" t="s">
        <v>8</v>
      </c>
      <c r="C37" t="s">
        <v>22</v>
      </c>
      <c r="D37" t="str">
        <f>VLOOKUP(Inventory[[#This Row],[ProductID]],Products[#All],2,FALSE)</f>
        <v>Scented Candle Tin</v>
      </c>
      <c r="E37" t="str">
        <f>VLOOKUP( Inventory[[#This Row],[ProductID]],Products[#All],6,FALSE)</f>
        <v>CozyHome Traders</v>
      </c>
      <c r="F37" s="18">
        <f>VLOOKUP(Inventory[[#This Row],[ProductID]],Products[#All],4,FALSE)</f>
        <v>7.5</v>
      </c>
      <c r="G37" s="8">
        <f>VLOOKUP(Inventory[[#This Row],[ProductID]],Products[#All],5,FALSE)</f>
        <v>18</v>
      </c>
      <c r="H37">
        <f>SUMIFS(Transactions[Quantity], Transactions[ProductID],Inventory[[#This Row],[ProductID]], Transactions[Site], Inventory[[#This Row],[Site]])</f>
        <v>11</v>
      </c>
      <c r="I37" s="18">
        <f>Inventory[[#This Row],[Cost/Unit]]*Inventory[[#This Row],[QuantityOnHand]]</f>
        <v>82.5</v>
      </c>
      <c r="J37" s="7" t="str">
        <f>IF(Inventory[[#This Row],[QuantityOnHand]]&lt;=Inventory[[#This Row],[Reorder Level]], "Yes", "No")</f>
        <v>Yes</v>
      </c>
      <c r="K37" s="1">
        <v>46064</v>
      </c>
      <c r="O37" s="9"/>
      <c r="P37" s="9"/>
      <c r="Q37" s="9"/>
      <c r="R37" s="10"/>
      <c r="T37" s="9"/>
      <c r="V37" s="1"/>
    </row>
    <row r="38" spans="2:22" x14ac:dyDescent="0.3">
      <c r="B38" t="s">
        <v>10</v>
      </c>
      <c r="C38" t="s">
        <v>22</v>
      </c>
      <c r="D38" t="str">
        <f>VLOOKUP(Inventory[[#This Row],[ProductID]],Products[#All],2,FALSE)</f>
        <v>Scented Candle Tin</v>
      </c>
      <c r="E38" t="str">
        <f>VLOOKUP( Inventory[[#This Row],[ProductID]],Products[#All],6,FALSE)</f>
        <v>CozyHome Traders</v>
      </c>
      <c r="F38" s="18">
        <f>VLOOKUP(Inventory[[#This Row],[ProductID]],Products[#All],4,FALSE)</f>
        <v>7.5</v>
      </c>
      <c r="G38" s="8">
        <f>VLOOKUP(Inventory[[#This Row],[ProductID]],Products[#All],5,FALSE)</f>
        <v>18</v>
      </c>
      <c r="H38">
        <f>SUMIFS(Transactions[Quantity], Transactions[ProductID],Inventory[[#This Row],[ProductID]], Transactions[Site], Inventory[[#This Row],[Site]])</f>
        <v>1</v>
      </c>
      <c r="I38" s="18">
        <f>Inventory[[#This Row],[Cost/Unit]]*Inventory[[#This Row],[QuantityOnHand]]</f>
        <v>7.5</v>
      </c>
      <c r="J38" s="7" t="str">
        <f>IF(Inventory[[#This Row],[QuantityOnHand]]&lt;=Inventory[[#This Row],[Reorder Level]], "Yes", "No")</f>
        <v>Yes</v>
      </c>
      <c r="K38" s="1">
        <v>46064</v>
      </c>
      <c r="O38" s="9"/>
      <c r="P38" s="9"/>
      <c r="Q38" s="9"/>
      <c r="R38" s="10"/>
      <c r="T38" s="9"/>
      <c r="V38" s="1"/>
    </row>
    <row r="39" spans="2:22" x14ac:dyDescent="0.3">
      <c r="B39" t="s">
        <v>11</v>
      </c>
      <c r="C39" t="s">
        <v>22</v>
      </c>
      <c r="D39" t="str">
        <f>VLOOKUP(Inventory[[#This Row],[ProductID]],Products[#All],2,FALSE)</f>
        <v>Scented Candle Tin</v>
      </c>
      <c r="E39" t="str">
        <f>VLOOKUP( Inventory[[#This Row],[ProductID]],Products[#All],6,FALSE)</f>
        <v>CozyHome Traders</v>
      </c>
      <c r="F39" s="18">
        <f>VLOOKUP(Inventory[[#This Row],[ProductID]],Products[#All],4,FALSE)</f>
        <v>7.5</v>
      </c>
      <c r="G39" s="8">
        <f>VLOOKUP(Inventory[[#This Row],[ProductID]],Products[#All],5,FALSE)</f>
        <v>18</v>
      </c>
      <c r="H39">
        <f>SUMIFS(Transactions[Quantity], Transactions[ProductID],Inventory[[#This Row],[ProductID]], Transactions[Site], Inventory[[#This Row],[Site]])</f>
        <v>1</v>
      </c>
      <c r="I39" s="18">
        <f>Inventory[[#This Row],[Cost/Unit]]*Inventory[[#This Row],[QuantityOnHand]]</f>
        <v>7.5</v>
      </c>
      <c r="J39" s="7" t="str">
        <f>IF(Inventory[[#This Row],[QuantityOnHand]]&lt;=Inventory[[#This Row],[Reorder Level]], "Yes", "No")</f>
        <v>Yes</v>
      </c>
      <c r="K39" s="1">
        <v>46064</v>
      </c>
      <c r="O39" s="9"/>
      <c r="P39" s="9"/>
      <c r="Q39" s="9"/>
      <c r="R39" s="10"/>
      <c r="T39" s="9"/>
      <c r="V39" s="1"/>
    </row>
    <row r="40" spans="2:22" x14ac:dyDescent="0.3">
      <c r="B40" t="s">
        <v>8</v>
      </c>
      <c r="C40" t="s">
        <v>23</v>
      </c>
      <c r="D40" t="str">
        <f>VLOOKUP(Inventory[[#This Row],[ProductID]],Products[#All],2,FALSE)</f>
        <v>Travel Card Holder</v>
      </c>
      <c r="E40" t="str">
        <f>VLOOKUP( Inventory[[#This Row],[ProductID]],Products[#All],6,FALSE)</f>
        <v>Urban Style Ltd.</v>
      </c>
      <c r="F40" s="18">
        <f>VLOOKUP(Inventory[[#This Row],[ProductID]],Products[#All],4,FALSE)</f>
        <v>5</v>
      </c>
      <c r="G40" s="8">
        <f>VLOOKUP(Inventory[[#This Row],[ProductID]],Products[#All],5,FALSE)</f>
        <v>15</v>
      </c>
      <c r="H40">
        <f>SUMIFS(Transactions[Quantity], Transactions[ProductID],Inventory[[#This Row],[ProductID]], Transactions[Site], Inventory[[#This Row],[Site]])</f>
        <v>0</v>
      </c>
      <c r="I40" s="18">
        <f>Inventory[[#This Row],[Cost/Unit]]*Inventory[[#This Row],[QuantityOnHand]]</f>
        <v>0</v>
      </c>
      <c r="J40" s="7" t="str">
        <f>IF(Inventory[[#This Row],[QuantityOnHand]]&lt;=Inventory[[#This Row],[Reorder Level]], "Yes", "No")</f>
        <v>Yes</v>
      </c>
      <c r="K40" s="1">
        <v>46064</v>
      </c>
      <c r="O40" s="9"/>
      <c r="P40" s="9"/>
      <c r="Q40" s="9"/>
      <c r="R40" s="10"/>
      <c r="T40" s="9"/>
      <c r="V40" s="1"/>
    </row>
    <row r="41" spans="2:22" x14ac:dyDescent="0.3">
      <c r="B41" t="s">
        <v>10</v>
      </c>
      <c r="C41" t="s">
        <v>23</v>
      </c>
      <c r="D41" t="str">
        <f>VLOOKUP(Inventory[[#This Row],[ProductID]],Products[#All],2,FALSE)</f>
        <v>Travel Card Holder</v>
      </c>
      <c r="E41" t="str">
        <f>VLOOKUP( Inventory[[#This Row],[ProductID]],Products[#All],6,FALSE)</f>
        <v>Urban Style Ltd.</v>
      </c>
      <c r="F41" s="18">
        <f>VLOOKUP(Inventory[[#This Row],[ProductID]],Products[#All],4,FALSE)</f>
        <v>5</v>
      </c>
      <c r="G41" s="8">
        <f>VLOOKUP(Inventory[[#This Row],[ProductID]],Products[#All],5,FALSE)</f>
        <v>15</v>
      </c>
      <c r="H41">
        <f>SUMIFS(Transactions[Quantity], Transactions[ProductID],Inventory[[#This Row],[ProductID]], Transactions[Site], Inventory[[#This Row],[Site]])</f>
        <v>10</v>
      </c>
      <c r="I41" s="18">
        <f>Inventory[[#This Row],[Cost/Unit]]*Inventory[[#This Row],[QuantityOnHand]]</f>
        <v>50</v>
      </c>
      <c r="J41" s="7" t="str">
        <f>IF(Inventory[[#This Row],[QuantityOnHand]]&lt;=Inventory[[#This Row],[Reorder Level]], "Yes", "No")</f>
        <v>Yes</v>
      </c>
      <c r="K41" s="1">
        <v>46064</v>
      </c>
      <c r="O41" s="9"/>
      <c r="P41" s="9"/>
      <c r="Q41" s="9"/>
      <c r="R41" s="10"/>
      <c r="T41" s="9"/>
      <c r="V41" s="1"/>
    </row>
    <row r="42" spans="2:22" x14ac:dyDescent="0.3">
      <c r="B42" t="s">
        <v>11</v>
      </c>
      <c r="C42" t="s">
        <v>23</v>
      </c>
      <c r="D42" t="str">
        <f>VLOOKUP(Inventory[[#This Row],[ProductID]],Products[#All],2,FALSE)</f>
        <v>Travel Card Holder</v>
      </c>
      <c r="E42" t="str">
        <f>VLOOKUP( Inventory[[#This Row],[ProductID]],Products[#All],6,FALSE)</f>
        <v>Urban Style Ltd.</v>
      </c>
      <c r="F42" s="18">
        <f>VLOOKUP(Inventory[[#This Row],[ProductID]],Products[#All],4,FALSE)</f>
        <v>5</v>
      </c>
      <c r="G42" s="8">
        <f>VLOOKUP(Inventory[[#This Row],[ProductID]],Products[#All],5,FALSE)</f>
        <v>15</v>
      </c>
      <c r="H42">
        <f>SUMIFS(Transactions[Quantity], Transactions[ProductID],Inventory[[#This Row],[ProductID]], Transactions[Site], Inventory[[#This Row],[Site]])</f>
        <v>0</v>
      </c>
      <c r="I42" s="18">
        <f>Inventory[[#This Row],[Cost/Unit]]*Inventory[[#This Row],[QuantityOnHand]]</f>
        <v>0</v>
      </c>
      <c r="J42" s="7" t="str">
        <f>IF(Inventory[[#This Row],[QuantityOnHand]]&lt;=Inventory[[#This Row],[Reorder Level]], "Yes", "No")</f>
        <v>Yes</v>
      </c>
      <c r="K42" s="1">
        <v>46064</v>
      </c>
      <c r="O42" s="9"/>
      <c r="P42" s="9"/>
      <c r="Q42" s="9"/>
      <c r="R42" s="10"/>
      <c r="T42" s="9"/>
      <c r="V42" s="1"/>
    </row>
    <row r="43" spans="2:22" x14ac:dyDescent="0.3">
      <c r="B43" t="s">
        <v>8</v>
      </c>
      <c r="C43" t="s">
        <v>24</v>
      </c>
      <c r="D43" t="str">
        <f>VLOOKUP(Inventory[[#This Row],[ProductID]],Products[#All],2,FALSE)</f>
        <v>Cotton Tote Bag</v>
      </c>
      <c r="E43" t="str">
        <f>VLOOKUP( Inventory[[#This Row],[ProductID]],Products[#All],6,FALSE)</f>
        <v>CozyWear Co.</v>
      </c>
      <c r="F43" s="18">
        <f>VLOOKUP(Inventory[[#This Row],[ProductID]],Products[#All],4,FALSE)</f>
        <v>6.5</v>
      </c>
      <c r="G43" s="8">
        <f>VLOOKUP(Inventory[[#This Row],[ProductID]],Products[#All],5,FALSE)</f>
        <v>20</v>
      </c>
      <c r="H43">
        <f>SUMIFS(Transactions[Quantity], Transactions[ProductID],Inventory[[#This Row],[ProductID]], Transactions[Site], Inventory[[#This Row],[Site]])</f>
        <v>0</v>
      </c>
      <c r="I43" s="18">
        <f>Inventory[[#This Row],[Cost/Unit]]*Inventory[[#This Row],[QuantityOnHand]]</f>
        <v>0</v>
      </c>
      <c r="J43" s="7" t="str">
        <f>IF(Inventory[[#This Row],[QuantityOnHand]]&lt;=Inventory[[#This Row],[Reorder Level]], "Yes", "No")</f>
        <v>Yes</v>
      </c>
      <c r="K43" s="1">
        <v>46064</v>
      </c>
      <c r="O43" s="9"/>
      <c r="P43" s="9"/>
      <c r="Q43" s="9"/>
      <c r="R43" s="10"/>
      <c r="T43" s="9"/>
      <c r="V43" s="1"/>
    </row>
    <row r="44" spans="2:22" x14ac:dyDescent="0.3">
      <c r="B44" t="s">
        <v>10</v>
      </c>
      <c r="C44" t="s">
        <v>24</v>
      </c>
      <c r="D44" t="str">
        <f>VLOOKUP(Inventory[[#This Row],[ProductID]],Products[#All],2,FALSE)</f>
        <v>Cotton Tote Bag</v>
      </c>
      <c r="E44" t="str">
        <f>VLOOKUP( Inventory[[#This Row],[ProductID]],Products[#All],6,FALSE)</f>
        <v>CozyWear Co.</v>
      </c>
      <c r="F44" s="18">
        <f>VLOOKUP(Inventory[[#This Row],[ProductID]],Products[#All],4,FALSE)</f>
        <v>6.5</v>
      </c>
      <c r="G44" s="8">
        <f>VLOOKUP(Inventory[[#This Row],[ProductID]],Products[#All],5,FALSE)</f>
        <v>20</v>
      </c>
      <c r="H44">
        <f>SUMIFS(Transactions[Quantity], Transactions[ProductID],Inventory[[#This Row],[ProductID]], Transactions[Site], Inventory[[#This Row],[Site]])</f>
        <v>40</v>
      </c>
      <c r="I44" s="18">
        <f>Inventory[[#This Row],[Cost/Unit]]*Inventory[[#This Row],[QuantityOnHand]]</f>
        <v>260</v>
      </c>
      <c r="J44" s="7" t="str">
        <f>IF(Inventory[[#This Row],[QuantityOnHand]]&lt;=Inventory[[#This Row],[Reorder Level]], "Yes", "No")</f>
        <v>No</v>
      </c>
      <c r="K44" s="1"/>
      <c r="O44" s="9"/>
      <c r="P44" s="9"/>
      <c r="Q44" s="9"/>
      <c r="R44" s="10"/>
      <c r="T44" s="9"/>
      <c r="V44" s="1"/>
    </row>
    <row r="45" spans="2:22" x14ac:dyDescent="0.3">
      <c r="B45" t="s">
        <v>11</v>
      </c>
      <c r="C45" t="s">
        <v>24</v>
      </c>
      <c r="D45" t="str">
        <f>VLOOKUP(Inventory[[#This Row],[ProductID]],Products[#All],2,FALSE)</f>
        <v>Cotton Tote Bag</v>
      </c>
      <c r="E45" t="str">
        <f>VLOOKUP( Inventory[[#This Row],[ProductID]],Products[#All],6,FALSE)</f>
        <v>CozyWear Co.</v>
      </c>
      <c r="F45" s="18">
        <f>VLOOKUP(Inventory[[#This Row],[ProductID]],Products[#All],4,FALSE)</f>
        <v>6.5</v>
      </c>
      <c r="G45" s="8">
        <f>VLOOKUP(Inventory[[#This Row],[ProductID]],Products[#All],5,FALSE)</f>
        <v>20</v>
      </c>
      <c r="H45">
        <f>SUMIFS(Transactions[Quantity], Transactions[ProductID],Inventory[[#This Row],[ProductID]], Transactions[Site], Inventory[[#This Row],[Site]])</f>
        <v>35</v>
      </c>
      <c r="I45" s="18">
        <f>Inventory[[#This Row],[Cost/Unit]]*Inventory[[#This Row],[QuantityOnHand]]</f>
        <v>227.5</v>
      </c>
      <c r="J45" s="7" t="str">
        <f>IF(Inventory[[#This Row],[QuantityOnHand]]&lt;=Inventory[[#This Row],[Reorder Level]], "Yes", "No")</f>
        <v>No</v>
      </c>
      <c r="K45" s="1"/>
      <c r="O45" s="9"/>
      <c r="P45" s="9"/>
      <c r="Q45" s="9"/>
      <c r="R45" s="10"/>
      <c r="T45" s="9"/>
      <c r="V45" s="1"/>
    </row>
    <row r="46" spans="2:22" x14ac:dyDescent="0.3">
      <c r="B46" t="s">
        <v>8</v>
      </c>
      <c r="C46" t="s">
        <v>25</v>
      </c>
      <c r="D46" t="str">
        <f>VLOOKUP(Inventory[[#This Row],[ProductID]],Products[#All],2,FALSE)</f>
        <v>Jelly Bean Jar</v>
      </c>
      <c r="E46" t="str">
        <f>VLOOKUP( Inventory[[#This Row],[ProductID]],Products[#All],6,FALSE)</f>
        <v>Sweet Treats Co.</v>
      </c>
      <c r="F46" s="18">
        <f>VLOOKUP(Inventory[[#This Row],[ProductID]],Products[#All],4,FALSE)</f>
        <v>7</v>
      </c>
      <c r="G46" s="8">
        <f>VLOOKUP(Inventory[[#This Row],[ProductID]],Products[#All],5,FALSE)</f>
        <v>12</v>
      </c>
      <c r="H46">
        <f>SUMIFS(Transactions[Quantity], Transactions[ProductID],Inventory[[#This Row],[ProductID]], Transactions[Site], Inventory[[#This Row],[Site]])</f>
        <v>2</v>
      </c>
      <c r="I46" s="18">
        <f>Inventory[[#This Row],[Cost/Unit]]*Inventory[[#This Row],[QuantityOnHand]]</f>
        <v>14</v>
      </c>
      <c r="J46" s="7" t="str">
        <f>IF(Inventory[[#This Row],[QuantityOnHand]]&lt;=Inventory[[#This Row],[Reorder Level]], "Yes", "No")</f>
        <v>Yes</v>
      </c>
      <c r="K46" s="1">
        <v>46064</v>
      </c>
      <c r="O46" s="9"/>
      <c r="P46" s="9"/>
      <c r="Q46" s="9"/>
      <c r="R46" s="10"/>
      <c r="T46" s="9"/>
      <c r="V46" s="1"/>
    </row>
    <row r="47" spans="2:22" x14ac:dyDescent="0.3">
      <c r="B47" t="s">
        <v>10</v>
      </c>
      <c r="C47" t="s">
        <v>25</v>
      </c>
      <c r="D47" t="str">
        <f>VLOOKUP(Inventory[[#This Row],[ProductID]],Products[#All],2,FALSE)</f>
        <v>Jelly Bean Jar</v>
      </c>
      <c r="E47" t="str">
        <f>VLOOKUP( Inventory[[#This Row],[ProductID]],Products[#All],6,FALSE)</f>
        <v>Sweet Treats Co.</v>
      </c>
      <c r="F47" s="18">
        <f>VLOOKUP(Inventory[[#This Row],[ProductID]],Products[#All],4,FALSE)</f>
        <v>7</v>
      </c>
      <c r="G47" s="8">
        <f>VLOOKUP(Inventory[[#This Row],[ProductID]],Products[#All],5,FALSE)</f>
        <v>12</v>
      </c>
      <c r="H47">
        <f>SUMIFS(Transactions[Quantity], Transactions[ProductID],Inventory[[#This Row],[ProductID]], Transactions[Site], Inventory[[#This Row],[Site]])</f>
        <v>0</v>
      </c>
      <c r="I47" s="18">
        <f>Inventory[[#This Row],[Cost/Unit]]*Inventory[[#This Row],[QuantityOnHand]]</f>
        <v>0</v>
      </c>
      <c r="J47" s="7" t="str">
        <f>IF(Inventory[[#This Row],[QuantityOnHand]]&lt;=Inventory[[#This Row],[Reorder Level]], "Yes", "No")</f>
        <v>Yes</v>
      </c>
      <c r="K47" s="1">
        <v>46064</v>
      </c>
      <c r="O47" s="9"/>
      <c r="P47" s="9"/>
      <c r="Q47" s="9"/>
      <c r="R47" s="10"/>
      <c r="T47" s="9"/>
      <c r="V47" s="1"/>
    </row>
    <row r="48" spans="2:22" x14ac:dyDescent="0.3">
      <c r="B48" t="s">
        <v>11</v>
      </c>
      <c r="C48" t="s">
        <v>25</v>
      </c>
      <c r="D48" t="str">
        <f>VLOOKUP(Inventory[[#This Row],[ProductID]],Products[#All],2,FALSE)</f>
        <v>Jelly Bean Jar</v>
      </c>
      <c r="E48" t="str">
        <f>VLOOKUP( Inventory[[#This Row],[ProductID]],Products[#All],6,FALSE)</f>
        <v>Sweet Treats Co.</v>
      </c>
      <c r="F48" s="18">
        <f>VLOOKUP(Inventory[[#This Row],[ProductID]],Products[#All],4,FALSE)</f>
        <v>7</v>
      </c>
      <c r="G48" s="8">
        <f>VLOOKUP(Inventory[[#This Row],[ProductID]],Products[#All],5,FALSE)</f>
        <v>12</v>
      </c>
      <c r="H48">
        <f>SUMIFS(Transactions[Quantity], Transactions[ProductID],Inventory[[#This Row],[ProductID]], Transactions[Site], Inventory[[#This Row],[Site]])</f>
        <v>2</v>
      </c>
      <c r="I48" s="18">
        <f>Inventory[[#This Row],[Cost/Unit]]*Inventory[[#This Row],[QuantityOnHand]]</f>
        <v>14</v>
      </c>
      <c r="J48" s="7" t="str">
        <f>IF(Inventory[[#This Row],[QuantityOnHand]]&lt;=Inventory[[#This Row],[Reorder Level]], "Yes", "No")</f>
        <v>Yes</v>
      </c>
      <c r="K48" s="1">
        <v>46064</v>
      </c>
      <c r="O48" s="9"/>
      <c r="P48" s="9"/>
      <c r="Q48" s="9"/>
      <c r="R48" s="10"/>
      <c r="T48" s="9"/>
      <c r="V48" s="1"/>
    </row>
    <row r="49" spans="2:22" x14ac:dyDescent="0.3">
      <c r="B49" t="s">
        <v>8</v>
      </c>
      <c r="C49" t="s">
        <v>26</v>
      </c>
      <c r="D49" t="str">
        <f>VLOOKUP(Inventory[[#This Row],[ProductID]],Products[#All],2,FALSE)</f>
        <v>Magnetic Bookmark Set</v>
      </c>
      <c r="E49" t="str">
        <f>VLOOKUP( Inventory[[#This Row],[ProductID]],Products[#All],6,FALSE)</f>
        <v>PaperWorks Supplies</v>
      </c>
      <c r="F49" s="18">
        <f>VLOOKUP(Inventory[[#This Row],[ProductID]],Products[#All],4,FALSE)</f>
        <v>4</v>
      </c>
      <c r="G49" s="8">
        <f>VLOOKUP(Inventory[[#This Row],[ProductID]],Products[#All],5,FALSE)</f>
        <v>15</v>
      </c>
      <c r="H49">
        <f>SUMIFS(Transactions[Quantity], Transactions[ProductID],Inventory[[#This Row],[ProductID]], Transactions[Site], Inventory[[#This Row],[Site]])</f>
        <v>2</v>
      </c>
      <c r="I49" s="18">
        <f>Inventory[[#This Row],[Cost/Unit]]*Inventory[[#This Row],[QuantityOnHand]]</f>
        <v>8</v>
      </c>
      <c r="J49" s="7" t="str">
        <f>IF(Inventory[[#This Row],[QuantityOnHand]]&lt;=Inventory[[#This Row],[Reorder Level]], "Yes", "No")</f>
        <v>Yes</v>
      </c>
      <c r="K49" s="1">
        <v>46064</v>
      </c>
      <c r="O49" s="9"/>
      <c r="P49" s="9"/>
      <c r="Q49" s="9"/>
      <c r="R49" s="10"/>
      <c r="T49" s="9"/>
      <c r="V49" s="1"/>
    </row>
    <row r="50" spans="2:22" x14ac:dyDescent="0.3">
      <c r="B50" t="s">
        <v>10</v>
      </c>
      <c r="C50" t="s">
        <v>26</v>
      </c>
      <c r="D50" t="str">
        <f>VLOOKUP(Inventory[[#This Row],[ProductID]],Products[#All],2,FALSE)</f>
        <v>Magnetic Bookmark Set</v>
      </c>
      <c r="E50" t="str">
        <f>VLOOKUP( Inventory[[#This Row],[ProductID]],Products[#All],6,FALSE)</f>
        <v>PaperWorks Supplies</v>
      </c>
      <c r="F50" s="18">
        <f>VLOOKUP(Inventory[[#This Row],[ProductID]],Products[#All],4,FALSE)</f>
        <v>4</v>
      </c>
      <c r="G50" s="8">
        <f>VLOOKUP(Inventory[[#This Row],[ProductID]],Products[#All],5,FALSE)</f>
        <v>15</v>
      </c>
      <c r="H50">
        <f>SUMIFS(Transactions[Quantity], Transactions[ProductID],Inventory[[#This Row],[ProductID]], Transactions[Site], Inventory[[#This Row],[Site]])</f>
        <v>2</v>
      </c>
      <c r="I50" s="18">
        <f>Inventory[[#This Row],[Cost/Unit]]*Inventory[[#This Row],[QuantityOnHand]]</f>
        <v>8</v>
      </c>
      <c r="J50" s="7" t="str">
        <f>IF(Inventory[[#This Row],[QuantityOnHand]]&lt;=Inventory[[#This Row],[Reorder Level]], "Yes", "No")</f>
        <v>Yes</v>
      </c>
      <c r="K50" s="1">
        <v>46064</v>
      </c>
      <c r="O50" s="9"/>
      <c r="P50" s="9"/>
      <c r="Q50" s="9"/>
      <c r="R50" s="10"/>
      <c r="T50" s="9"/>
      <c r="V50" s="1"/>
    </row>
    <row r="51" spans="2:22" x14ac:dyDescent="0.3">
      <c r="B51" t="s">
        <v>11</v>
      </c>
      <c r="C51" t="s">
        <v>26</v>
      </c>
      <c r="D51" t="str">
        <f>VLOOKUP(Inventory[[#This Row],[ProductID]],Products[#All],2,FALSE)</f>
        <v>Magnetic Bookmark Set</v>
      </c>
      <c r="E51" t="str">
        <f>VLOOKUP( Inventory[[#This Row],[ProductID]],Products[#All],6,FALSE)</f>
        <v>PaperWorks Supplies</v>
      </c>
      <c r="F51" s="18">
        <f>VLOOKUP(Inventory[[#This Row],[ProductID]],Products[#All],4,FALSE)</f>
        <v>4</v>
      </c>
      <c r="G51" s="8">
        <f>VLOOKUP(Inventory[[#This Row],[ProductID]],Products[#All],5,FALSE)</f>
        <v>15</v>
      </c>
      <c r="H51">
        <f>SUMIFS(Transactions[Quantity], Transactions[ProductID],Inventory[[#This Row],[ProductID]], Transactions[Site], Inventory[[#This Row],[Site]])</f>
        <v>1</v>
      </c>
      <c r="I51" s="18">
        <f>Inventory[[#This Row],[Cost/Unit]]*Inventory[[#This Row],[QuantityOnHand]]</f>
        <v>4</v>
      </c>
      <c r="J51" s="7" t="str">
        <f>IF(Inventory[[#This Row],[QuantityOnHand]]&lt;=Inventory[[#This Row],[Reorder Level]], "Yes", "No")</f>
        <v>Yes</v>
      </c>
      <c r="K51" s="1">
        <v>46064</v>
      </c>
      <c r="O51" s="9"/>
      <c r="P51" s="9"/>
      <c r="Q51" s="9"/>
      <c r="R51" s="10"/>
      <c r="T51" s="9"/>
      <c r="V51" s="1"/>
    </row>
    <row r="52" spans="2:22" x14ac:dyDescent="0.3">
      <c r="B52" t="s">
        <v>8</v>
      </c>
      <c r="C52" t="s">
        <v>27</v>
      </c>
      <c r="D52" t="str">
        <f>VLOOKUP(Inventory[[#This Row],[ProductID]],Products[#All],2,FALSE)</f>
        <v>Puzzle Cube Keychain</v>
      </c>
      <c r="E52" t="str">
        <f>VLOOKUP( Inventory[[#This Row],[ProductID]],Products[#All],6,FALSE)</f>
        <v>FunZone Imports</v>
      </c>
      <c r="F52" s="18">
        <f>VLOOKUP(Inventory[[#This Row],[ProductID]],Products[#All],4,FALSE)</f>
        <v>6.5</v>
      </c>
      <c r="G52" s="8">
        <f>VLOOKUP(Inventory[[#This Row],[ProductID]],Products[#All],5,FALSE)</f>
        <v>10</v>
      </c>
      <c r="H52">
        <f>SUMIFS(Transactions[Quantity], Transactions[ProductID],Inventory[[#This Row],[ProductID]], Transactions[Site], Inventory[[#This Row],[Site]])</f>
        <v>2</v>
      </c>
      <c r="I52" s="18">
        <f>Inventory[[#This Row],[Cost/Unit]]*Inventory[[#This Row],[QuantityOnHand]]</f>
        <v>13</v>
      </c>
      <c r="J52" s="7" t="str">
        <f>IF(Inventory[[#This Row],[QuantityOnHand]]&lt;=Inventory[[#This Row],[Reorder Level]], "Yes", "No")</f>
        <v>Yes</v>
      </c>
      <c r="K52" s="1">
        <v>46064</v>
      </c>
      <c r="O52" s="9"/>
      <c r="P52" s="9"/>
      <c r="Q52" s="9"/>
      <c r="R52" s="10"/>
      <c r="T52" s="9"/>
      <c r="V52" s="1"/>
    </row>
    <row r="53" spans="2:22" x14ac:dyDescent="0.3">
      <c r="B53" t="s">
        <v>10</v>
      </c>
      <c r="C53" t="s">
        <v>27</v>
      </c>
      <c r="D53" t="str">
        <f>VLOOKUP(Inventory[[#This Row],[ProductID]],Products[#All],2,FALSE)</f>
        <v>Puzzle Cube Keychain</v>
      </c>
      <c r="E53" t="str">
        <f>VLOOKUP( Inventory[[#This Row],[ProductID]],Products[#All],6,FALSE)</f>
        <v>FunZone Imports</v>
      </c>
      <c r="F53" s="18">
        <f>VLOOKUP(Inventory[[#This Row],[ProductID]],Products[#All],4,FALSE)</f>
        <v>6.5</v>
      </c>
      <c r="G53" s="8">
        <f>VLOOKUP(Inventory[[#This Row],[ProductID]],Products[#All],5,FALSE)</f>
        <v>10</v>
      </c>
      <c r="H53">
        <f>SUMIFS(Transactions[Quantity], Transactions[ProductID],Inventory[[#This Row],[ProductID]], Transactions[Site], Inventory[[#This Row],[Site]])</f>
        <v>0</v>
      </c>
      <c r="I53" s="18">
        <f>Inventory[[#This Row],[Cost/Unit]]*Inventory[[#This Row],[QuantityOnHand]]</f>
        <v>0</v>
      </c>
      <c r="J53" s="7" t="str">
        <f>IF(Inventory[[#This Row],[QuantityOnHand]]&lt;=Inventory[[#This Row],[Reorder Level]], "Yes", "No")</f>
        <v>Yes</v>
      </c>
      <c r="K53" s="1">
        <v>46064</v>
      </c>
      <c r="O53" s="9"/>
      <c r="P53" s="9"/>
      <c r="Q53" s="9"/>
      <c r="R53" s="10"/>
      <c r="T53" s="9"/>
      <c r="V53" s="1"/>
    </row>
    <row r="54" spans="2:22" x14ac:dyDescent="0.3">
      <c r="B54" t="s">
        <v>11</v>
      </c>
      <c r="C54" t="s">
        <v>27</v>
      </c>
      <c r="D54" t="str">
        <f>VLOOKUP(Inventory[[#This Row],[ProductID]],Products[#All],2,FALSE)</f>
        <v>Puzzle Cube Keychain</v>
      </c>
      <c r="E54" t="str">
        <f>VLOOKUP( Inventory[[#This Row],[ProductID]],Products[#All],6,FALSE)</f>
        <v>FunZone Imports</v>
      </c>
      <c r="F54" s="18">
        <f>VLOOKUP(Inventory[[#This Row],[ProductID]],Products[#All],4,FALSE)</f>
        <v>6.5</v>
      </c>
      <c r="G54" s="8">
        <f>VLOOKUP(Inventory[[#This Row],[ProductID]],Products[#All],5,FALSE)</f>
        <v>10</v>
      </c>
      <c r="H54">
        <f>SUMIFS(Transactions[Quantity], Transactions[ProductID],Inventory[[#This Row],[ProductID]], Transactions[Site], Inventory[[#This Row],[Site]])</f>
        <v>2</v>
      </c>
      <c r="I54" s="18">
        <f>Inventory[[#This Row],[Cost/Unit]]*Inventory[[#This Row],[QuantityOnHand]]</f>
        <v>13</v>
      </c>
      <c r="J54" s="7" t="str">
        <f>IF(Inventory[[#This Row],[QuantityOnHand]]&lt;=Inventory[[#This Row],[Reorder Level]], "Yes", "No")</f>
        <v>Yes</v>
      </c>
      <c r="K54" s="1">
        <v>46064</v>
      </c>
      <c r="O54" s="9"/>
      <c r="P54" s="9"/>
      <c r="Q54" s="9"/>
      <c r="R54" s="10"/>
      <c r="T54" s="9"/>
      <c r="V54" s="1"/>
    </row>
    <row r="55" spans="2:22" x14ac:dyDescent="0.3">
      <c r="B55" t="s">
        <v>8</v>
      </c>
      <c r="C55" t="s">
        <v>28</v>
      </c>
      <c r="D55" t="str">
        <f>VLOOKUP(Inventory[[#This Row],[ProductID]],Products[#All],2,FALSE)</f>
        <v>Bamboo Cutlery Set</v>
      </c>
      <c r="E55" t="str">
        <f>VLOOKUP( Inventory[[#This Row],[ProductID]],Products[#All],6,FALSE)</f>
        <v>EcoLiving Pty Ltd.</v>
      </c>
      <c r="F55" s="18">
        <f>VLOOKUP(Inventory[[#This Row],[ProductID]],Products[#All],4,FALSE)</f>
        <v>8</v>
      </c>
      <c r="G55" s="8">
        <f>VLOOKUP(Inventory[[#This Row],[ProductID]],Products[#All],5,FALSE)</f>
        <v>12</v>
      </c>
      <c r="H55">
        <f>SUMIFS(Transactions[Quantity], Transactions[ProductID],Inventory[[#This Row],[ProductID]], Transactions[Site], Inventory[[#This Row],[Site]])</f>
        <v>0</v>
      </c>
      <c r="I55" s="18">
        <f>Inventory[[#This Row],[Cost/Unit]]*Inventory[[#This Row],[QuantityOnHand]]</f>
        <v>0</v>
      </c>
      <c r="J55" s="7" t="str">
        <f>IF(Inventory[[#This Row],[QuantityOnHand]]&lt;=Inventory[[#This Row],[Reorder Level]], "Yes", "No")</f>
        <v>Yes</v>
      </c>
      <c r="K55" s="1">
        <v>46064</v>
      </c>
      <c r="O55" s="9"/>
      <c r="P55" s="9"/>
      <c r="Q55" s="9"/>
      <c r="R55" s="10"/>
      <c r="T55" s="9"/>
      <c r="V55" s="1"/>
    </row>
    <row r="56" spans="2:22" x14ac:dyDescent="0.3">
      <c r="B56" t="s">
        <v>10</v>
      </c>
      <c r="C56" t="s">
        <v>28</v>
      </c>
      <c r="D56" t="str">
        <f>VLOOKUP(Inventory[[#This Row],[ProductID]],Products[#All],2,FALSE)</f>
        <v>Bamboo Cutlery Set</v>
      </c>
      <c r="E56" t="str">
        <f>VLOOKUP( Inventory[[#This Row],[ProductID]],Products[#All],6,FALSE)</f>
        <v>EcoLiving Pty Ltd.</v>
      </c>
      <c r="F56" s="18">
        <f>VLOOKUP(Inventory[[#This Row],[ProductID]],Products[#All],4,FALSE)</f>
        <v>8</v>
      </c>
      <c r="G56" s="8">
        <f>VLOOKUP(Inventory[[#This Row],[ProductID]],Products[#All],5,FALSE)</f>
        <v>12</v>
      </c>
      <c r="H56">
        <f>SUMIFS(Transactions[Quantity], Transactions[ProductID],Inventory[[#This Row],[ProductID]], Transactions[Site], Inventory[[#This Row],[Site]])</f>
        <v>3</v>
      </c>
      <c r="I56" s="18">
        <f>Inventory[[#This Row],[Cost/Unit]]*Inventory[[#This Row],[QuantityOnHand]]</f>
        <v>24</v>
      </c>
      <c r="J56" s="7" t="str">
        <f>IF(Inventory[[#This Row],[QuantityOnHand]]&lt;=Inventory[[#This Row],[Reorder Level]], "Yes", "No")</f>
        <v>Yes</v>
      </c>
      <c r="K56" s="1">
        <v>46064</v>
      </c>
      <c r="O56" s="9"/>
      <c r="P56" s="9"/>
      <c r="Q56" s="9"/>
      <c r="R56" s="10"/>
      <c r="T56" s="9"/>
      <c r="V56" s="1"/>
    </row>
    <row r="57" spans="2:22" x14ac:dyDescent="0.3">
      <c r="B57" t="s">
        <v>11</v>
      </c>
      <c r="C57" t="s">
        <v>28</v>
      </c>
      <c r="D57" t="str">
        <f>VLOOKUP(Inventory[[#This Row],[ProductID]],Products[#All],2,FALSE)</f>
        <v>Bamboo Cutlery Set</v>
      </c>
      <c r="E57" t="str">
        <f>VLOOKUP( Inventory[[#This Row],[ProductID]],Products[#All],6,FALSE)</f>
        <v>EcoLiving Pty Ltd.</v>
      </c>
      <c r="F57" s="18">
        <f>VLOOKUP(Inventory[[#This Row],[ProductID]],Products[#All],4,FALSE)</f>
        <v>8</v>
      </c>
      <c r="G57" s="8">
        <f>VLOOKUP(Inventory[[#This Row],[ProductID]],Products[#All],5,FALSE)</f>
        <v>12</v>
      </c>
      <c r="H57">
        <f>SUMIFS(Transactions[Quantity], Transactions[ProductID],Inventory[[#This Row],[ProductID]], Transactions[Site], Inventory[[#This Row],[Site]])</f>
        <v>4</v>
      </c>
      <c r="I57" s="18">
        <f>Inventory[[#This Row],[Cost/Unit]]*Inventory[[#This Row],[QuantityOnHand]]</f>
        <v>32</v>
      </c>
      <c r="J57" s="7" t="str">
        <f>IF(Inventory[[#This Row],[QuantityOnHand]]&lt;=Inventory[[#This Row],[Reorder Level]], "Yes", "No")</f>
        <v>Yes</v>
      </c>
      <c r="K57" s="1">
        <v>46064</v>
      </c>
      <c r="O57" s="9"/>
      <c r="P57" s="9"/>
      <c r="Q57" s="9"/>
      <c r="R57" s="10"/>
      <c r="T57" s="9"/>
      <c r="V57" s="1"/>
    </row>
    <row r="58" spans="2:22" x14ac:dyDescent="0.3">
      <c r="B58" t="s">
        <v>8</v>
      </c>
      <c r="C58" t="s">
        <v>29</v>
      </c>
      <c r="D58" t="str">
        <f>VLOOKUP(Inventory[[#This Row],[ProductID]],Products[#All],2,FALSE)</f>
        <v>Comic-Themed Notebook</v>
      </c>
      <c r="E58" t="str">
        <f>VLOOKUP( Inventory[[#This Row],[ProductID]],Products[#All],6,FALSE)</f>
        <v>PaperWorks Supplies</v>
      </c>
      <c r="F58" s="18">
        <f>VLOOKUP(Inventory[[#This Row],[ProductID]],Products[#All],4,FALSE)</f>
        <v>4.5</v>
      </c>
      <c r="G58" s="8">
        <f>VLOOKUP(Inventory[[#This Row],[ProductID]],Products[#All],5,FALSE)</f>
        <v>20</v>
      </c>
      <c r="H58">
        <f>SUMIFS(Transactions[Quantity], Transactions[ProductID],Inventory[[#This Row],[ProductID]], Transactions[Site], Inventory[[#This Row],[Site]])</f>
        <v>20</v>
      </c>
      <c r="I58" s="18">
        <f>Inventory[[#This Row],[Cost/Unit]]*Inventory[[#This Row],[QuantityOnHand]]</f>
        <v>90</v>
      </c>
      <c r="J58" s="7" t="str">
        <f>IF(Inventory[[#This Row],[QuantityOnHand]]&lt;=Inventory[[#This Row],[Reorder Level]], "Yes", "No")</f>
        <v>Yes</v>
      </c>
      <c r="K58" s="1">
        <v>46064</v>
      </c>
      <c r="O58" s="9"/>
      <c r="P58" s="9"/>
      <c r="Q58" s="9"/>
      <c r="R58" s="10"/>
      <c r="T58" s="9"/>
      <c r="V58" s="1"/>
    </row>
    <row r="59" spans="2:22" x14ac:dyDescent="0.3">
      <c r="B59" t="s">
        <v>10</v>
      </c>
      <c r="C59" t="s">
        <v>29</v>
      </c>
      <c r="D59" t="str">
        <f>VLOOKUP(Inventory[[#This Row],[ProductID]],Products[#All],2,FALSE)</f>
        <v>Comic-Themed Notebook</v>
      </c>
      <c r="E59" t="str">
        <f>VLOOKUP( Inventory[[#This Row],[ProductID]],Products[#All],6,FALSE)</f>
        <v>PaperWorks Supplies</v>
      </c>
      <c r="F59" s="18">
        <f>VLOOKUP(Inventory[[#This Row],[ProductID]],Products[#All],4,FALSE)</f>
        <v>4.5</v>
      </c>
      <c r="G59" s="8">
        <f>VLOOKUP(Inventory[[#This Row],[ProductID]],Products[#All],5,FALSE)</f>
        <v>20</v>
      </c>
      <c r="H59">
        <f>SUMIFS(Transactions[Quantity], Transactions[ProductID],Inventory[[#This Row],[ProductID]], Transactions[Site], Inventory[[#This Row],[Site]])</f>
        <v>0</v>
      </c>
      <c r="I59" s="18">
        <f>Inventory[[#This Row],[Cost/Unit]]*Inventory[[#This Row],[QuantityOnHand]]</f>
        <v>0</v>
      </c>
      <c r="J59" s="7" t="str">
        <f>IF(Inventory[[#This Row],[QuantityOnHand]]&lt;=Inventory[[#This Row],[Reorder Level]], "Yes", "No")</f>
        <v>Yes</v>
      </c>
      <c r="K59" s="1">
        <v>46064</v>
      </c>
      <c r="O59" s="9"/>
      <c r="P59" s="9"/>
      <c r="Q59" s="9"/>
      <c r="R59" s="10"/>
      <c r="T59" s="9"/>
      <c r="V59" s="1"/>
    </row>
    <row r="60" spans="2:22" x14ac:dyDescent="0.3">
      <c r="B60" t="s">
        <v>11</v>
      </c>
      <c r="C60" t="s">
        <v>29</v>
      </c>
      <c r="D60" t="str">
        <f>VLOOKUP(Inventory[[#This Row],[ProductID]],Products[#All],2,FALSE)</f>
        <v>Comic-Themed Notebook</v>
      </c>
      <c r="E60" t="str">
        <f>VLOOKUP( Inventory[[#This Row],[ProductID]],Products[#All],6,FALSE)</f>
        <v>PaperWorks Supplies</v>
      </c>
      <c r="F60" s="18">
        <f>VLOOKUP(Inventory[[#This Row],[ProductID]],Products[#All],4,FALSE)</f>
        <v>4.5</v>
      </c>
      <c r="G60" s="8">
        <f>VLOOKUP(Inventory[[#This Row],[ProductID]],Products[#All],5,FALSE)</f>
        <v>20</v>
      </c>
      <c r="H60">
        <f>SUMIFS(Transactions[Quantity], Transactions[ProductID],Inventory[[#This Row],[ProductID]], Transactions[Site], Inventory[[#This Row],[Site]])</f>
        <v>0</v>
      </c>
      <c r="I60" s="18">
        <f>Inventory[[#This Row],[Cost/Unit]]*Inventory[[#This Row],[QuantityOnHand]]</f>
        <v>0</v>
      </c>
      <c r="J60" s="7" t="str">
        <f>IF(Inventory[[#This Row],[QuantityOnHand]]&lt;=Inventory[[#This Row],[Reorder Level]], "Yes", "No")</f>
        <v>Yes</v>
      </c>
      <c r="K60" s="1">
        <v>46064</v>
      </c>
      <c r="O60" s="9"/>
      <c r="P60" s="9"/>
      <c r="Q60" s="9"/>
      <c r="R60" s="10"/>
      <c r="T60" s="9"/>
      <c r="V60" s="1"/>
    </row>
    <row r="61" spans="2:22" x14ac:dyDescent="0.3">
      <c r="B61" t="s">
        <v>8</v>
      </c>
      <c r="C61" t="s">
        <v>30</v>
      </c>
      <c r="D61" t="str">
        <f>VLOOKUP(Inventory[[#This Row],[ProductID]],Products[#All],2,FALSE)</f>
        <v>Spicy Snack Mix</v>
      </c>
      <c r="E61" t="str">
        <f>VLOOKUP( Inventory[[#This Row],[ProductID]],Products[#All],6,FALSE)</f>
        <v>Snack Masters</v>
      </c>
      <c r="F61" s="18">
        <f>VLOOKUP(Inventory[[#This Row],[ProductID]],Products[#All],4,FALSE)</f>
        <v>5</v>
      </c>
      <c r="G61" s="8">
        <f>VLOOKUP(Inventory[[#This Row],[ProductID]],Products[#All],5,FALSE)</f>
        <v>25</v>
      </c>
      <c r="H61">
        <f>SUMIFS(Transactions[Quantity], Transactions[ProductID],Inventory[[#This Row],[ProductID]], Transactions[Site], Inventory[[#This Row],[Site]])</f>
        <v>4</v>
      </c>
      <c r="I61" s="18">
        <f>Inventory[[#This Row],[Cost/Unit]]*Inventory[[#This Row],[QuantityOnHand]]</f>
        <v>20</v>
      </c>
      <c r="J61" s="7" t="str">
        <f>IF(Inventory[[#This Row],[QuantityOnHand]]&lt;=Inventory[[#This Row],[Reorder Level]], "Yes", "No")</f>
        <v>Yes</v>
      </c>
      <c r="K61" s="1">
        <v>46064</v>
      </c>
      <c r="O61" s="9"/>
      <c r="P61" s="9"/>
      <c r="Q61" s="9"/>
      <c r="R61" s="10"/>
      <c r="T61" s="9"/>
      <c r="V61" s="1"/>
    </row>
    <row r="62" spans="2:22" x14ac:dyDescent="0.3">
      <c r="B62" t="s">
        <v>10</v>
      </c>
      <c r="C62" t="s">
        <v>30</v>
      </c>
      <c r="D62" t="str">
        <f>VLOOKUP(Inventory[[#This Row],[ProductID]],Products[#All],2,FALSE)</f>
        <v>Spicy Snack Mix</v>
      </c>
      <c r="E62" t="str">
        <f>VLOOKUP( Inventory[[#This Row],[ProductID]],Products[#All],6,FALSE)</f>
        <v>Snack Masters</v>
      </c>
      <c r="F62" s="18">
        <f>VLOOKUP(Inventory[[#This Row],[ProductID]],Products[#All],4,FALSE)</f>
        <v>5</v>
      </c>
      <c r="G62" s="8">
        <f>VLOOKUP(Inventory[[#This Row],[ProductID]],Products[#All],5,FALSE)</f>
        <v>25</v>
      </c>
      <c r="H62">
        <f>SUMIFS(Transactions[Quantity], Transactions[ProductID],Inventory[[#This Row],[ProductID]], Transactions[Site], Inventory[[#This Row],[Site]])</f>
        <v>4</v>
      </c>
      <c r="I62" s="18">
        <f>Inventory[[#This Row],[Cost/Unit]]*Inventory[[#This Row],[QuantityOnHand]]</f>
        <v>20</v>
      </c>
      <c r="J62" s="7" t="str">
        <f>IF(Inventory[[#This Row],[QuantityOnHand]]&lt;=Inventory[[#This Row],[Reorder Level]], "Yes", "No")</f>
        <v>Yes</v>
      </c>
      <c r="K62" s="1">
        <v>46064</v>
      </c>
      <c r="O62" s="9"/>
      <c r="P62" s="9"/>
      <c r="Q62" s="9"/>
      <c r="R62" s="10"/>
      <c r="T62" s="9"/>
      <c r="V62" s="1"/>
    </row>
    <row r="63" spans="2:22" x14ac:dyDescent="0.3">
      <c r="B63" t="s">
        <v>11</v>
      </c>
      <c r="C63" t="s">
        <v>30</v>
      </c>
      <c r="D63" t="str">
        <f>VLOOKUP(Inventory[[#This Row],[ProductID]],Products[#All],2,FALSE)</f>
        <v>Spicy Snack Mix</v>
      </c>
      <c r="E63" t="str">
        <f>VLOOKUP( Inventory[[#This Row],[ProductID]],Products[#All],6,FALSE)</f>
        <v>Snack Masters</v>
      </c>
      <c r="F63" s="18">
        <f>VLOOKUP(Inventory[[#This Row],[ProductID]],Products[#All],4,FALSE)</f>
        <v>5</v>
      </c>
      <c r="G63" s="8">
        <f>VLOOKUP(Inventory[[#This Row],[ProductID]],Products[#All],5,FALSE)</f>
        <v>25</v>
      </c>
      <c r="H63">
        <f>SUMIFS(Transactions[Quantity], Transactions[ProductID],Inventory[[#This Row],[ProductID]], Transactions[Site], Inventory[[#This Row],[Site]])</f>
        <v>0</v>
      </c>
      <c r="I63" s="18">
        <f>Inventory[[#This Row],[Cost/Unit]]*Inventory[[#This Row],[QuantityOnHand]]</f>
        <v>0</v>
      </c>
      <c r="J63" s="7" t="str">
        <f>IF(Inventory[[#This Row],[QuantityOnHand]]&lt;=Inventory[[#This Row],[Reorder Level]], "Yes", "No")</f>
        <v>Yes</v>
      </c>
      <c r="K63" s="1">
        <v>46064</v>
      </c>
      <c r="O63" s="9"/>
      <c r="P63" s="9"/>
      <c r="Q63" s="9"/>
      <c r="R63" s="10"/>
      <c r="T63" s="9"/>
      <c r="V63" s="1"/>
    </row>
    <row r="64" spans="2:22" x14ac:dyDescent="0.3">
      <c r="B64" t="s">
        <v>8</v>
      </c>
      <c r="C64" t="s">
        <v>31</v>
      </c>
      <c r="D64" t="str">
        <f>VLOOKUP(Inventory[[#This Row],[ProductID]],Products[#All],2,FALSE)</f>
        <v>Retro Arcade Keyring</v>
      </c>
      <c r="E64" t="str">
        <f>VLOOKUP( Inventory[[#This Row],[ProductID]],Products[#All],6,FALSE)</f>
        <v>FunZone Imports</v>
      </c>
      <c r="F64" s="18">
        <f>VLOOKUP(Inventory[[#This Row],[ProductID]],Products[#All],4,FALSE)</f>
        <v>7.5</v>
      </c>
      <c r="G64" s="8">
        <f>VLOOKUP(Inventory[[#This Row],[ProductID]],Products[#All],5,FALSE)</f>
        <v>10</v>
      </c>
      <c r="H64">
        <f>SUMIFS(Transactions[Quantity], Transactions[ProductID],Inventory[[#This Row],[ProductID]], Transactions[Site], Inventory[[#This Row],[Site]])</f>
        <v>2</v>
      </c>
      <c r="I64" s="18">
        <f>Inventory[[#This Row],[Cost/Unit]]*Inventory[[#This Row],[QuantityOnHand]]</f>
        <v>15</v>
      </c>
      <c r="J64" s="7" t="str">
        <f>IF(Inventory[[#This Row],[QuantityOnHand]]&lt;=Inventory[[#This Row],[Reorder Level]], "Yes", "No")</f>
        <v>Yes</v>
      </c>
      <c r="K64" s="1">
        <v>46064</v>
      </c>
      <c r="O64" s="9"/>
      <c r="P64" s="9"/>
      <c r="Q64" s="9"/>
      <c r="R64" s="10"/>
      <c r="T64" s="9"/>
      <c r="V64" s="1"/>
    </row>
    <row r="65" spans="2:22" x14ac:dyDescent="0.3">
      <c r="B65" t="s">
        <v>10</v>
      </c>
      <c r="C65" t="s">
        <v>31</v>
      </c>
      <c r="D65" t="str">
        <f>VLOOKUP(Inventory[[#This Row],[ProductID]],Products[#All],2,FALSE)</f>
        <v>Retro Arcade Keyring</v>
      </c>
      <c r="E65" t="str">
        <f>VLOOKUP( Inventory[[#This Row],[ProductID]],Products[#All],6,FALSE)</f>
        <v>FunZone Imports</v>
      </c>
      <c r="F65" s="18">
        <f>VLOOKUP(Inventory[[#This Row],[ProductID]],Products[#All],4,FALSE)</f>
        <v>7.5</v>
      </c>
      <c r="G65" s="8">
        <f>VLOOKUP(Inventory[[#This Row],[ProductID]],Products[#All],5,FALSE)</f>
        <v>10</v>
      </c>
      <c r="H65">
        <f>SUMIFS(Transactions[Quantity], Transactions[ProductID],Inventory[[#This Row],[ProductID]], Transactions[Site], Inventory[[#This Row],[Site]])</f>
        <v>2</v>
      </c>
      <c r="I65" s="18">
        <f>Inventory[[#This Row],[Cost/Unit]]*Inventory[[#This Row],[QuantityOnHand]]</f>
        <v>15</v>
      </c>
      <c r="J65" s="7" t="str">
        <f>IF(Inventory[[#This Row],[QuantityOnHand]]&lt;=Inventory[[#This Row],[Reorder Level]], "Yes", "No")</f>
        <v>Yes</v>
      </c>
      <c r="K65" s="1">
        <v>46064</v>
      </c>
      <c r="O65" s="9"/>
      <c r="P65" s="9"/>
      <c r="Q65" s="9"/>
      <c r="R65" s="10"/>
      <c r="T65" s="9"/>
      <c r="V65" s="1"/>
    </row>
    <row r="66" spans="2:22" x14ac:dyDescent="0.3">
      <c r="B66" t="s">
        <v>11</v>
      </c>
      <c r="C66" t="s">
        <v>31</v>
      </c>
      <c r="D66" t="str">
        <f>VLOOKUP(Inventory[[#This Row],[ProductID]],Products[#All],2,FALSE)</f>
        <v>Retro Arcade Keyring</v>
      </c>
      <c r="E66" t="str">
        <f>VLOOKUP( Inventory[[#This Row],[ProductID]],Products[#All],6,FALSE)</f>
        <v>FunZone Imports</v>
      </c>
      <c r="F66" s="18">
        <f>VLOOKUP(Inventory[[#This Row],[ProductID]],Products[#All],4,FALSE)</f>
        <v>7.5</v>
      </c>
      <c r="G66" s="8">
        <f>VLOOKUP(Inventory[[#This Row],[ProductID]],Products[#All],5,FALSE)</f>
        <v>10</v>
      </c>
      <c r="H66">
        <f>SUMIFS(Transactions[Quantity], Transactions[ProductID],Inventory[[#This Row],[ProductID]], Transactions[Site], Inventory[[#This Row],[Site]])</f>
        <v>11</v>
      </c>
      <c r="I66" s="18">
        <f>Inventory[[#This Row],[Cost/Unit]]*Inventory[[#This Row],[QuantityOnHand]]</f>
        <v>82.5</v>
      </c>
      <c r="J66" s="7" t="str">
        <f>IF(Inventory[[#This Row],[QuantityOnHand]]&lt;=Inventory[[#This Row],[Reorder Level]], "Yes", "No")</f>
        <v>No</v>
      </c>
      <c r="K66" s="1"/>
      <c r="O66" s="9"/>
      <c r="P66" s="9"/>
      <c r="Q66" s="9"/>
      <c r="R66" s="10"/>
      <c r="T66" s="9"/>
      <c r="V66" s="1"/>
    </row>
  </sheetData>
  <mergeCells count="2">
    <mergeCell ref="B3:D4"/>
    <mergeCell ref="E3:F4"/>
  </mergeCells>
  <conditionalFormatting sqref="J7:J66">
    <cfRule type="iconSet" priority="2">
      <iconSet iconSet="3Symbols2">
        <cfvo type="percent" val="0"/>
        <cfvo type="percent" val="33"/>
        <cfvo type="percent" val="67"/>
      </iconSet>
    </cfRule>
    <cfRule type="colorScale" priority="1">
      <colorScale>
        <cfvo type="min"/>
        <cfvo type="percentile" val="50"/>
        <cfvo type="max"/>
        <color rgb="FF5A8AC6"/>
        <color rgb="FFFCFCFF"/>
        <color rgb="FFF8696B"/>
      </colorScale>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Views>
    <sheetView zoomScale="85" workbookViewId="0">
      <selection activeCell="U19" sqref="U19"/>
    </sheetView>
  </sheetViews>
  <sheetFormatPr defaultRowHeight="14.4" x14ac:dyDescent="0.3"/>
  <cols>
    <col min="1" max="1" width="26" bestFit="1" customWidth="1"/>
    <col min="2" max="2" width="12.5546875" bestFit="1" customWidth="1"/>
    <col min="3" max="3" width="22.5546875" customWidth="1"/>
    <col min="4" max="4" width="7.5546875" bestFit="1" customWidth="1"/>
    <col min="5" max="5" width="7.5546875" customWidth="1"/>
    <col min="6" max="6" width="7.5546875" bestFit="1" customWidth="1"/>
    <col min="7" max="7" width="11.44140625" customWidth="1"/>
  </cols>
  <sheetData>
    <row r="1" spans="1:7" x14ac:dyDescent="0.3">
      <c r="A1" s="12" t="s">
        <v>6</v>
      </c>
      <c r="B1" s="12" t="s">
        <v>14</v>
      </c>
    </row>
    <row r="2" spans="1:7" x14ac:dyDescent="0.3">
      <c r="A2" s="12" t="s">
        <v>7</v>
      </c>
      <c r="B2" s="12" t="s">
        <v>152</v>
      </c>
    </row>
    <row r="4" spans="1:7" x14ac:dyDescent="0.3">
      <c r="A4" s="12" t="s">
        <v>151</v>
      </c>
      <c r="B4" s="12"/>
      <c r="C4" s="12"/>
      <c r="D4" s="12" t="s">
        <v>0</v>
      </c>
      <c r="E4" s="12"/>
      <c r="F4" s="12"/>
      <c r="G4" s="12"/>
    </row>
    <row r="5" spans="1:7" x14ac:dyDescent="0.3">
      <c r="A5" s="12" t="s">
        <v>35</v>
      </c>
      <c r="B5" s="12" t="s">
        <v>1</v>
      </c>
      <c r="C5" s="12" t="s">
        <v>149</v>
      </c>
      <c r="D5" s="12" t="s">
        <v>8</v>
      </c>
      <c r="E5" s="12" t="s">
        <v>10</v>
      </c>
      <c r="F5" s="12" t="s">
        <v>11</v>
      </c>
      <c r="G5" s="12" t="s">
        <v>150</v>
      </c>
    </row>
    <row r="6" spans="1:7" x14ac:dyDescent="0.3">
      <c r="A6" s="12" t="s">
        <v>58</v>
      </c>
      <c r="B6" s="12" t="s">
        <v>21</v>
      </c>
      <c r="C6" s="12" t="s">
        <v>57</v>
      </c>
      <c r="D6" s="12"/>
      <c r="E6" s="12">
        <v>10</v>
      </c>
      <c r="F6" s="12">
        <v>10</v>
      </c>
      <c r="G6" s="12">
        <v>20</v>
      </c>
    </row>
    <row r="7" spans="1:7" x14ac:dyDescent="0.3">
      <c r="A7" s="12"/>
      <c r="B7" s="12" t="s">
        <v>22</v>
      </c>
      <c r="C7" s="12" t="s">
        <v>59</v>
      </c>
      <c r="D7" s="12">
        <v>18</v>
      </c>
      <c r="E7" s="12">
        <v>18</v>
      </c>
      <c r="F7" s="12">
        <v>18</v>
      </c>
      <c r="G7" s="12">
        <v>54</v>
      </c>
    </row>
    <row r="8" spans="1:7" x14ac:dyDescent="0.3">
      <c r="A8" s="12" t="s">
        <v>153</v>
      </c>
      <c r="B8" s="12"/>
      <c r="C8" s="12"/>
      <c r="D8" s="12">
        <v>18</v>
      </c>
      <c r="E8" s="12">
        <v>28</v>
      </c>
      <c r="F8" s="12">
        <v>28</v>
      </c>
      <c r="G8" s="12">
        <v>74</v>
      </c>
    </row>
    <row r="9" spans="1:7" x14ac:dyDescent="0.3">
      <c r="A9" s="12" t="s">
        <v>38</v>
      </c>
      <c r="B9" s="12" t="s">
        <v>24</v>
      </c>
      <c r="C9" s="12" t="s">
        <v>62</v>
      </c>
      <c r="D9" s="12">
        <v>20</v>
      </c>
      <c r="E9" s="12"/>
      <c r="F9" s="12"/>
      <c r="G9" s="12">
        <v>20</v>
      </c>
    </row>
    <row r="10" spans="1:7" x14ac:dyDescent="0.3">
      <c r="A10" s="12" t="s">
        <v>154</v>
      </c>
      <c r="B10" s="12"/>
      <c r="C10" s="12"/>
      <c r="D10" s="12">
        <v>20</v>
      </c>
      <c r="E10" s="12"/>
      <c r="F10" s="12"/>
      <c r="G10" s="12">
        <v>20</v>
      </c>
    </row>
    <row r="11" spans="1:7" x14ac:dyDescent="0.3">
      <c r="A11" s="12" t="s">
        <v>53</v>
      </c>
      <c r="B11" s="12" t="s">
        <v>18</v>
      </c>
      <c r="C11" s="12" t="s">
        <v>51</v>
      </c>
      <c r="D11" s="12"/>
      <c r="E11" s="12"/>
      <c r="F11" s="12">
        <v>20</v>
      </c>
      <c r="G11" s="12">
        <v>20</v>
      </c>
    </row>
    <row r="12" spans="1:7" x14ac:dyDescent="0.3">
      <c r="A12" s="12"/>
      <c r="B12" s="12" t="s">
        <v>28</v>
      </c>
      <c r="C12" s="12" t="s">
        <v>67</v>
      </c>
      <c r="D12" s="12">
        <v>12</v>
      </c>
      <c r="E12" s="12">
        <v>12</v>
      </c>
      <c r="F12" s="12">
        <v>12</v>
      </c>
      <c r="G12" s="12">
        <v>36</v>
      </c>
    </row>
    <row r="13" spans="1:7" x14ac:dyDescent="0.3">
      <c r="A13" s="12" t="s">
        <v>155</v>
      </c>
      <c r="B13" s="12"/>
      <c r="C13" s="12"/>
      <c r="D13" s="12">
        <v>12</v>
      </c>
      <c r="E13" s="12">
        <v>12</v>
      </c>
      <c r="F13" s="12">
        <v>32</v>
      </c>
      <c r="G13" s="12">
        <v>56</v>
      </c>
    </row>
    <row r="14" spans="1:7" x14ac:dyDescent="0.3">
      <c r="A14" s="12" t="s">
        <v>44</v>
      </c>
      <c r="B14" s="12" t="s">
        <v>13</v>
      </c>
      <c r="C14" s="12" t="s">
        <v>42</v>
      </c>
      <c r="D14" s="12"/>
      <c r="E14" s="12"/>
      <c r="F14" s="12">
        <v>10</v>
      </c>
      <c r="G14" s="12">
        <v>10</v>
      </c>
    </row>
    <row r="15" spans="1:7" x14ac:dyDescent="0.3">
      <c r="A15" s="12"/>
      <c r="B15" s="12" t="s">
        <v>27</v>
      </c>
      <c r="C15" s="12" t="s">
        <v>66</v>
      </c>
      <c r="D15" s="12">
        <v>10</v>
      </c>
      <c r="E15" s="12">
        <v>10</v>
      </c>
      <c r="F15" s="12">
        <v>10</v>
      </c>
      <c r="G15" s="12">
        <v>30</v>
      </c>
    </row>
    <row r="16" spans="1:7" x14ac:dyDescent="0.3">
      <c r="A16" s="12"/>
      <c r="B16" s="12" t="s">
        <v>31</v>
      </c>
      <c r="C16" s="12" t="s">
        <v>70</v>
      </c>
      <c r="D16" s="12">
        <v>10</v>
      </c>
      <c r="E16" s="12">
        <v>10</v>
      </c>
      <c r="F16" s="12"/>
      <c r="G16" s="12">
        <v>20</v>
      </c>
    </row>
    <row r="17" spans="1:7" x14ac:dyDescent="0.3">
      <c r="A17" s="12" t="s">
        <v>156</v>
      </c>
      <c r="B17" s="12"/>
      <c r="C17" s="12"/>
      <c r="D17" s="12">
        <v>20</v>
      </c>
      <c r="E17" s="12">
        <v>20</v>
      </c>
      <c r="F17" s="12">
        <v>20</v>
      </c>
      <c r="G17" s="12">
        <v>60</v>
      </c>
    </row>
    <row r="18" spans="1:7" x14ac:dyDescent="0.3">
      <c r="A18" s="12" t="s">
        <v>56</v>
      </c>
      <c r="B18" s="12" t="s">
        <v>20</v>
      </c>
      <c r="C18" s="12" t="s">
        <v>55</v>
      </c>
      <c r="D18" s="12">
        <v>8</v>
      </c>
      <c r="E18" s="12">
        <v>8</v>
      </c>
      <c r="F18" s="12">
        <v>8</v>
      </c>
      <c r="G18" s="12">
        <v>24</v>
      </c>
    </row>
    <row r="19" spans="1:7" x14ac:dyDescent="0.3">
      <c r="A19" s="12" t="s">
        <v>157</v>
      </c>
      <c r="B19" s="12"/>
      <c r="C19" s="12"/>
      <c r="D19" s="12">
        <v>8</v>
      </c>
      <c r="E19" s="12">
        <v>8</v>
      </c>
      <c r="F19" s="12">
        <v>8</v>
      </c>
      <c r="G19" s="12">
        <v>24</v>
      </c>
    </row>
    <row r="20" spans="1:7" x14ac:dyDescent="0.3">
      <c r="A20" s="12" t="s">
        <v>49</v>
      </c>
      <c r="B20" s="12" t="s">
        <v>16</v>
      </c>
      <c r="C20" s="12" t="s">
        <v>47</v>
      </c>
      <c r="D20" s="12">
        <v>30</v>
      </c>
      <c r="E20" s="12"/>
      <c r="F20" s="12"/>
      <c r="G20" s="12">
        <v>30</v>
      </c>
    </row>
    <row r="21" spans="1:7" x14ac:dyDescent="0.3">
      <c r="A21" s="12"/>
      <c r="B21" s="12" t="s">
        <v>26</v>
      </c>
      <c r="C21" s="12" t="s">
        <v>65</v>
      </c>
      <c r="D21" s="12">
        <v>15</v>
      </c>
      <c r="E21" s="12">
        <v>15</v>
      </c>
      <c r="F21" s="12">
        <v>15</v>
      </c>
      <c r="G21" s="12">
        <v>45</v>
      </c>
    </row>
    <row r="22" spans="1:7" x14ac:dyDescent="0.3">
      <c r="A22" s="12"/>
      <c r="B22" s="12" t="s">
        <v>29</v>
      </c>
      <c r="C22" s="12" t="s">
        <v>68</v>
      </c>
      <c r="D22" s="12">
        <v>20</v>
      </c>
      <c r="E22" s="12">
        <v>20</v>
      </c>
      <c r="F22" s="12">
        <v>20</v>
      </c>
      <c r="G22" s="12">
        <v>60</v>
      </c>
    </row>
    <row r="23" spans="1:7" x14ac:dyDescent="0.3">
      <c r="A23" s="12" t="s">
        <v>158</v>
      </c>
      <c r="B23" s="12"/>
      <c r="C23" s="12"/>
      <c r="D23" s="12">
        <v>65</v>
      </c>
      <c r="E23" s="12">
        <v>35</v>
      </c>
      <c r="F23" s="12">
        <v>35</v>
      </c>
      <c r="G23" s="12">
        <v>135</v>
      </c>
    </row>
    <row r="24" spans="1:7" x14ac:dyDescent="0.3">
      <c r="A24" s="12" t="s">
        <v>46</v>
      </c>
      <c r="B24" s="12" t="s">
        <v>15</v>
      </c>
      <c r="C24" s="12" t="s">
        <v>45</v>
      </c>
      <c r="D24" s="12"/>
      <c r="E24" s="12">
        <v>25</v>
      </c>
      <c r="F24" s="12">
        <v>25</v>
      </c>
      <c r="G24" s="12">
        <v>50</v>
      </c>
    </row>
    <row r="25" spans="1:7" x14ac:dyDescent="0.3">
      <c r="A25" s="12"/>
      <c r="B25" s="12" t="s">
        <v>19</v>
      </c>
      <c r="C25" s="12" t="s">
        <v>54</v>
      </c>
      <c r="D25" s="12">
        <v>25</v>
      </c>
      <c r="E25" s="12">
        <v>25</v>
      </c>
      <c r="F25" s="12">
        <v>25</v>
      </c>
      <c r="G25" s="12">
        <v>75</v>
      </c>
    </row>
    <row r="26" spans="1:7" x14ac:dyDescent="0.3">
      <c r="A26" s="12"/>
      <c r="B26" s="12" t="s">
        <v>30</v>
      </c>
      <c r="C26" s="12" t="s">
        <v>69</v>
      </c>
      <c r="D26" s="12">
        <v>25</v>
      </c>
      <c r="E26" s="12">
        <v>25</v>
      </c>
      <c r="F26" s="12">
        <v>25</v>
      </c>
      <c r="G26" s="12">
        <v>75</v>
      </c>
    </row>
    <row r="27" spans="1:7" x14ac:dyDescent="0.3">
      <c r="A27" s="12" t="s">
        <v>159</v>
      </c>
      <c r="B27" s="12"/>
      <c r="C27" s="12"/>
      <c r="D27" s="12">
        <v>50</v>
      </c>
      <c r="E27" s="12">
        <v>75</v>
      </c>
      <c r="F27" s="12">
        <v>75</v>
      </c>
      <c r="G27" s="12">
        <v>200</v>
      </c>
    </row>
    <row r="28" spans="1:7" x14ac:dyDescent="0.3">
      <c r="A28" s="12" t="s">
        <v>64</v>
      </c>
      <c r="B28" s="12" t="s">
        <v>25</v>
      </c>
      <c r="C28" s="12" t="s">
        <v>63</v>
      </c>
      <c r="D28" s="12">
        <v>12</v>
      </c>
      <c r="E28" s="12">
        <v>12</v>
      </c>
      <c r="F28" s="12">
        <v>12</v>
      </c>
      <c r="G28" s="12">
        <v>36</v>
      </c>
    </row>
    <row r="29" spans="1:7" x14ac:dyDescent="0.3">
      <c r="A29" s="12" t="s">
        <v>160</v>
      </c>
      <c r="B29" s="12"/>
      <c r="C29" s="12"/>
      <c r="D29" s="12">
        <v>12</v>
      </c>
      <c r="E29" s="12">
        <v>12</v>
      </c>
      <c r="F29" s="12">
        <v>12</v>
      </c>
      <c r="G29" s="12">
        <v>36</v>
      </c>
    </row>
    <row r="30" spans="1:7" x14ac:dyDescent="0.3">
      <c r="A30" s="12" t="s">
        <v>61</v>
      </c>
      <c r="B30" s="12" t="s">
        <v>23</v>
      </c>
      <c r="C30" s="12" t="s">
        <v>60</v>
      </c>
      <c r="D30" s="12">
        <v>15</v>
      </c>
      <c r="E30" s="12">
        <v>15</v>
      </c>
      <c r="F30" s="12">
        <v>15</v>
      </c>
      <c r="G30" s="12">
        <v>45</v>
      </c>
    </row>
    <row r="31" spans="1:7" x14ac:dyDescent="0.3">
      <c r="A31" s="12" t="s">
        <v>161</v>
      </c>
      <c r="B31" s="12"/>
      <c r="C31" s="12"/>
      <c r="D31" s="12">
        <v>15</v>
      </c>
      <c r="E31" s="12">
        <v>15</v>
      </c>
      <c r="F31" s="12">
        <v>15</v>
      </c>
      <c r="G31" s="12">
        <v>45</v>
      </c>
    </row>
    <row r="32" spans="1:7" x14ac:dyDescent="0.3">
      <c r="A32" s="12" t="s">
        <v>150</v>
      </c>
      <c r="B32" s="12"/>
      <c r="C32" s="12"/>
      <c r="D32" s="12">
        <v>220</v>
      </c>
      <c r="E32" s="12">
        <v>205</v>
      </c>
      <c r="F32" s="12">
        <v>225</v>
      </c>
      <c r="G32" s="12">
        <v>650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25"/>
  <sheetViews>
    <sheetView workbookViewId="0">
      <selection activeCell="Q18" sqref="Q18"/>
    </sheetView>
  </sheetViews>
  <sheetFormatPr defaultRowHeight="14.4" x14ac:dyDescent="0.3"/>
  <cols>
    <col min="1" max="1" width="25" bestFit="1" customWidth="1"/>
    <col min="2" max="2" width="11.6640625" bestFit="1" customWidth="1"/>
    <col min="3" max="5" width="7.109375" bestFit="1" customWidth="1"/>
    <col min="6" max="6" width="10.77734375" bestFit="1" customWidth="1"/>
    <col min="8" max="8" width="25" bestFit="1" customWidth="1"/>
    <col min="9" max="9" width="11.6640625" bestFit="1" customWidth="1"/>
    <col min="10" max="12" width="9.109375" bestFit="1" customWidth="1"/>
    <col min="13" max="13" width="10.77734375" bestFit="1" customWidth="1"/>
  </cols>
  <sheetData>
    <row r="3" spans="1:13" x14ac:dyDescent="0.3">
      <c r="A3" s="11" t="s">
        <v>174</v>
      </c>
      <c r="C3" s="11" t="s">
        <v>0</v>
      </c>
      <c r="H3" s="11" t="s">
        <v>175</v>
      </c>
      <c r="J3" s="11" t="s">
        <v>0</v>
      </c>
    </row>
    <row r="4" spans="1:13" x14ac:dyDescent="0.3">
      <c r="A4" s="11" t="s">
        <v>149</v>
      </c>
      <c r="B4" s="11" t="s">
        <v>1</v>
      </c>
      <c r="C4" t="s">
        <v>8</v>
      </c>
      <c r="D4" t="s">
        <v>10</v>
      </c>
      <c r="E4" t="s">
        <v>11</v>
      </c>
      <c r="F4" t="s">
        <v>150</v>
      </c>
      <c r="H4" s="11" t="s">
        <v>149</v>
      </c>
      <c r="I4" s="11" t="s">
        <v>1</v>
      </c>
      <c r="J4" t="s">
        <v>8</v>
      </c>
      <c r="K4" t="s">
        <v>10</v>
      </c>
      <c r="L4" t="s">
        <v>11</v>
      </c>
      <c r="M4" t="s">
        <v>150</v>
      </c>
    </row>
    <row r="5" spans="1:13" x14ac:dyDescent="0.3">
      <c r="A5" t="s">
        <v>67</v>
      </c>
      <c r="B5" t="s">
        <v>28</v>
      </c>
      <c r="C5" s="7">
        <v>0</v>
      </c>
      <c r="D5" s="7">
        <v>3</v>
      </c>
      <c r="E5" s="7">
        <v>4</v>
      </c>
      <c r="F5" s="7">
        <v>7</v>
      </c>
      <c r="H5" t="s">
        <v>67</v>
      </c>
      <c r="I5" t="s">
        <v>28</v>
      </c>
      <c r="J5" s="18">
        <v>0</v>
      </c>
      <c r="K5" s="18">
        <v>24</v>
      </c>
      <c r="L5" s="18">
        <v>32</v>
      </c>
      <c r="M5" s="18">
        <v>56</v>
      </c>
    </row>
    <row r="6" spans="1:13" x14ac:dyDescent="0.3">
      <c r="A6" t="s">
        <v>39</v>
      </c>
      <c r="B6" t="s">
        <v>12</v>
      </c>
      <c r="C6" s="7">
        <v>19</v>
      </c>
      <c r="D6" s="7">
        <v>20</v>
      </c>
      <c r="E6" s="7">
        <v>29</v>
      </c>
      <c r="F6" s="7">
        <v>68</v>
      </c>
      <c r="H6" t="s">
        <v>39</v>
      </c>
      <c r="I6" t="s">
        <v>12</v>
      </c>
      <c r="J6" s="18">
        <v>228</v>
      </c>
      <c r="K6" s="18">
        <v>240</v>
      </c>
      <c r="L6" s="18">
        <v>348</v>
      </c>
      <c r="M6" s="18">
        <v>816</v>
      </c>
    </row>
    <row r="7" spans="1:13" x14ac:dyDescent="0.3">
      <c r="A7" t="s">
        <v>54</v>
      </c>
      <c r="B7" t="s">
        <v>19</v>
      </c>
      <c r="C7" s="7">
        <v>3</v>
      </c>
      <c r="D7" s="7">
        <v>3</v>
      </c>
      <c r="E7" s="7">
        <v>1</v>
      </c>
      <c r="F7" s="7">
        <v>7</v>
      </c>
      <c r="H7" t="s">
        <v>54</v>
      </c>
      <c r="I7" t="s">
        <v>19</v>
      </c>
      <c r="J7" s="18">
        <v>13.5</v>
      </c>
      <c r="K7" s="18">
        <v>13.5</v>
      </c>
      <c r="L7" s="18">
        <v>4.5</v>
      </c>
      <c r="M7" s="18">
        <v>31.5</v>
      </c>
    </row>
    <row r="8" spans="1:13" x14ac:dyDescent="0.3">
      <c r="A8" t="s">
        <v>68</v>
      </c>
      <c r="B8" t="s">
        <v>29</v>
      </c>
      <c r="C8" s="7">
        <v>20</v>
      </c>
      <c r="D8" s="7">
        <v>0</v>
      </c>
      <c r="E8" s="7">
        <v>0</v>
      </c>
      <c r="F8" s="7">
        <v>20</v>
      </c>
      <c r="H8" t="s">
        <v>68</v>
      </c>
      <c r="I8" t="s">
        <v>29</v>
      </c>
      <c r="J8" s="18">
        <v>90</v>
      </c>
      <c r="K8" s="18">
        <v>0</v>
      </c>
      <c r="L8" s="18">
        <v>0</v>
      </c>
      <c r="M8" s="18">
        <v>90</v>
      </c>
    </row>
    <row r="9" spans="1:13" x14ac:dyDescent="0.3">
      <c r="A9" t="s">
        <v>62</v>
      </c>
      <c r="B9" t="s">
        <v>24</v>
      </c>
      <c r="C9" s="7">
        <v>0</v>
      </c>
      <c r="D9" s="7">
        <v>40</v>
      </c>
      <c r="E9" s="7">
        <v>35</v>
      </c>
      <c r="F9" s="7">
        <v>75</v>
      </c>
      <c r="H9" t="s">
        <v>62</v>
      </c>
      <c r="I9" t="s">
        <v>24</v>
      </c>
      <c r="J9" s="18">
        <v>0</v>
      </c>
      <c r="K9" s="18">
        <v>260</v>
      </c>
      <c r="L9" s="18">
        <v>227.5</v>
      </c>
      <c r="M9" s="18">
        <v>487.5</v>
      </c>
    </row>
    <row r="10" spans="1:13" x14ac:dyDescent="0.3">
      <c r="A10" t="s">
        <v>57</v>
      </c>
      <c r="B10" t="s">
        <v>21</v>
      </c>
      <c r="C10" s="7">
        <v>11</v>
      </c>
      <c r="D10" s="7">
        <v>10</v>
      </c>
      <c r="E10" s="7">
        <v>1</v>
      </c>
      <c r="F10" s="7">
        <v>22</v>
      </c>
      <c r="H10" t="s">
        <v>57</v>
      </c>
      <c r="I10" t="s">
        <v>21</v>
      </c>
      <c r="J10" s="18">
        <v>126.5</v>
      </c>
      <c r="K10" s="18">
        <v>115</v>
      </c>
      <c r="L10" s="18">
        <v>11.5</v>
      </c>
      <c r="M10" s="18">
        <v>253</v>
      </c>
    </row>
    <row r="11" spans="1:13" x14ac:dyDescent="0.3">
      <c r="A11" t="s">
        <v>45</v>
      </c>
      <c r="B11" t="s">
        <v>15</v>
      </c>
      <c r="C11" s="7">
        <v>35</v>
      </c>
      <c r="D11" s="7">
        <v>20</v>
      </c>
      <c r="E11" s="7">
        <v>18</v>
      </c>
      <c r="F11" s="7">
        <v>73</v>
      </c>
      <c r="H11" t="s">
        <v>45</v>
      </c>
      <c r="I11" t="s">
        <v>15</v>
      </c>
      <c r="J11" s="18">
        <v>192.5</v>
      </c>
      <c r="K11" s="18">
        <v>110</v>
      </c>
      <c r="L11" s="18">
        <v>99</v>
      </c>
      <c r="M11" s="18">
        <v>401.5</v>
      </c>
    </row>
    <row r="12" spans="1:13" x14ac:dyDescent="0.3">
      <c r="A12" t="s">
        <v>63</v>
      </c>
      <c r="B12" t="s">
        <v>25</v>
      </c>
      <c r="C12" s="7">
        <v>2</v>
      </c>
      <c r="D12" s="7">
        <v>0</v>
      </c>
      <c r="E12" s="7">
        <v>2</v>
      </c>
      <c r="F12" s="7">
        <v>4</v>
      </c>
      <c r="H12" t="s">
        <v>63</v>
      </c>
      <c r="I12" t="s">
        <v>25</v>
      </c>
      <c r="J12" s="18">
        <v>14</v>
      </c>
      <c r="K12" s="18">
        <v>0</v>
      </c>
      <c r="L12" s="18">
        <v>14</v>
      </c>
      <c r="M12" s="18">
        <v>28</v>
      </c>
    </row>
    <row r="13" spans="1:13" x14ac:dyDescent="0.3">
      <c r="A13" t="s">
        <v>42</v>
      </c>
      <c r="B13" t="s">
        <v>13</v>
      </c>
      <c r="C13" s="7">
        <v>22</v>
      </c>
      <c r="D13" s="7">
        <v>30</v>
      </c>
      <c r="E13" s="7">
        <v>10</v>
      </c>
      <c r="F13" s="7">
        <v>62</v>
      </c>
      <c r="H13" t="s">
        <v>42</v>
      </c>
      <c r="I13" t="s">
        <v>13</v>
      </c>
      <c r="J13" s="18">
        <v>132</v>
      </c>
      <c r="K13" s="18">
        <v>180</v>
      </c>
      <c r="L13" s="18">
        <v>60</v>
      </c>
      <c r="M13" s="18">
        <v>372</v>
      </c>
    </row>
    <row r="14" spans="1:13" x14ac:dyDescent="0.3">
      <c r="A14" t="s">
        <v>65</v>
      </c>
      <c r="B14" t="s">
        <v>26</v>
      </c>
      <c r="C14" s="7">
        <v>2</v>
      </c>
      <c r="D14" s="7">
        <v>2</v>
      </c>
      <c r="E14" s="7">
        <v>1</v>
      </c>
      <c r="F14" s="7">
        <v>5</v>
      </c>
      <c r="H14" t="s">
        <v>65</v>
      </c>
      <c r="I14" t="s">
        <v>26</v>
      </c>
      <c r="J14" s="18">
        <v>8</v>
      </c>
      <c r="K14" s="18">
        <v>8</v>
      </c>
      <c r="L14" s="18">
        <v>4</v>
      </c>
      <c r="M14" s="18">
        <v>20</v>
      </c>
    </row>
    <row r="15" spans="1:13" x14ac:dyDescent="0.3">
      <c r="A15" t="s">
        <v>55</v>
      </c>
      <c r="B15" t="s">
        <v>20</v>
      </c>
      <c r="C15" s="7">
        <v>0</v>
      </c>
      <c r="D15" s="7">
        <v>1</v>
      </c>
      <c r="E15" s="7">
        <v>1</v>
      </c>
      <c r="F15" s="7">
        <v>2</v>
      </c>
      <c r="H15" t="s">
        <v>55</v>
      </c>
      <c r="I15" t="s">
        <v>20</v>
      </c>
      <c r="J15" s="18">
        <v>0</v>
      </c>
      <c r="K15" s="18">
        <v>10</v>
      </c>
      <c r="L15" s="18">
        <v>10</v>
      </c>
      <c r="M15" s="18">
        <v>20</v>
      </c>
    </row>
    <row r="16" spans="1:13" x14ac:dyDescent="0.3">
      <c r="A16" t="s">
        <v>47</v>
      </c>
      <c r="B16" t="s">
        <v>16</v>
      </c>
      <c r="C16" s="7">
        <v>27</v>
      </c>
      <c r="D16" s="7">
        <v>50</v>
      </c>
      <c r="E16" s="7">
        <v>35</v>
      </c>
      <c r="F16" s="7">
        <v>112</v>
      </c>
      <c r="H16" t="s">
        <v>47</v>
      </c>
      <c r="I16" t="s">
        <v>16</v>
      </c>
      <c r="J16" s="18">
        <v>81</v>
      </c>
      <c r="K16" s="18">
        <v>150</v>
      </c>
      <c r="L16" s="18">
        <v>105</v>
      </c>
      <c r="M16" s="18">
        <v>336</v>
      </c>
    </row>
    <row r="17" spans="1:13" x14ac:dyDescent="0.3">
      <c r="A17" t="s">
        <v>66</v>
      </c>
      <c r="B17" t="s">
        <v>27</v>
      </c>
      <c r="C17" s="7">
        <v>2</v>
      </c>
      <c r="D17" s="7">
        <v>0</v>
      </c>
      <c r="E17" s="7">
        <v>2</v>
      </c>
      <c r="F17" s="7">
        <v>4</v>
      </c>
      <c r="H17" t="s">
        <v>66</v>
      </c>
      <c r="I17" t="s">
        <v>27</v>
      </c>
      <c r="J17" s="18">
        <v>13</v>
      </c>
      <c r="K17" s="18">
        <v>0</v>
      </c>
      <c r="L17" s="18">
        <v>13</v>
      </c>
      <c r="M17" s="18">
        <v>26</v>
      </c>
    </row>
    <row r="18" spans="1:13" x14ac:dyDescent="0.3">
      <c r="A18" t="s">
        <v>36</v>
      </c>
      <c r="B18" t="s">
        <v>9</v>
      </c>
      <c r="C18" s="7">
        <v>48</v>
      </c>
      <c r="D18" s="7">
        <v>30</v>
      </c>
      <c r="E18" s="7">
        <v>40</v>
      </c>
      <c r="F18" s="7">
        <v>118</v>
      </c>
      <c r="H18" t="s">
        <v>36</v>
      </c>
      <c r="I18" t="s">
        <v>9</v>
      </c>
      <c r="J18" s="18">
        <v>408</v>
      </c>
      <c r="K18" s="18">
        <v>255</v>
      </c>
      <c r="L18" s="18">
        <v>340</v>
      </c>
      <c r="M18" s="18">
        <v>1003</v>
      </c>
    </row>
    <row r="19" spans="1:13" x14ac:dyDescent="0.3">
      <c r="A19" t="s">
        <v>70</v>
      </c>
      <c r="B19" t="s">
        <v>31</v>
      </c>
      <c r="C19" s="7">
        <v>2</v>
      </c>
      <c r="D19" s="7">
        <v>2</v>
      </c>
      <c r="E19" s="7">
        <v>11</v>
      </c>
      <c r="F19" s="7">
        <v>15</v>
      </c>
      <c r="H19" t="s">
        <v>70</v>
      </c>
      <c r="I19" t="s">
        <v>31</v>
      </c>
      <c r="J19" s="18">
        <v>15</v>
      </c>
      <c r="K19" s="18">
        <v>15</v>
      </c>
      <c r="L19" s="18">
        <v>82.5</v>
      </c>
      <c r="M19" s="18">
        <v>112.5</v>
      </c>
    </row>
    <row r="20" spans="1:13" x14ac:dyDescent="0.3">
      <c r="A20" t="s">
        <v>51</v>
      </c>
      <c r="B20" t="s">
        <v>18</v>
      </c>
      <c r="C20" s="7">
        <v>25</v>
      </c>
      <c r="D20" s="7">
        <v>25</v>
      </c>
      <c r="E20" s="7">
        <v>20</v>
      </c>
      <c r="F20" s="7">
        <v>70</v>
      </c>
      <c r="H20" t="s">
        <v>51</v>
      </c>
      <c r="I20" t="s">
        <v>18</v>
      </c>
      <c r="J20" s="18">
        <v>375</v>
      </c>
      <c r="K20" s="18">
        <v>375</v>
      </c>
      <c r="L20" s="18">
        <v>300</v>
      </c>
      <c r="M20" s="18">
        <v>1050</v>
      </c>
    </row>
    <row r="21" spans="1:13" x14ac:dyDescent="0.3">
      <c r="A21" t="s">
        <v>59</v>
      </c>
      <c r="B21" t="s">
        <v>22</v>
      </c>
      <c r="C21" s="7">
        <v>11</v>
      </c>
      <c r="D21" s="7">
        <v>1</v>
      </c>
      <c r="E21" s="7">
        <v>1</v>
      </c>
      <c r="F21" s="7">
        <v>13</v>
      </c>
      <c r="H21" t="s">
        <v>59</v>
      </c>
      <c r="I21" t="s">
        <v>22</v>
      </c>
      <c r="J21" s="18">
        <v>82.5</v>
      </c>
      <c r="K21" s="18">
        <v>7.5</v>
      </c>
      <c r="L21" s="18">
        <v>7.5</v>
      </c>
      <c r="M21" s="18">
        <v>97.5</v>
      </c>
    </row>
    <row r="22" spans="1:13" x14ac:dyDescent="0.3">
      <c r="A22" t="s">
        <v>50</v>
      </c>
      <c r="B22" t="s">
        <v>17</v>
      </c>
      <c r="C22" s="7">
        <v>20</v>
      </c>
      <c r="D22" s="7">
        <v>13</v>
      </c>
      <c r="E22" s="7">
        <v>22</v>
      </c>
      <c r="F22" s="7">
        <v>55</v>
      </c>
      <c r="H22" t="s">
        <v>50</v>
      </c>
      <c r="I22" t="s">
        <v>17</v>
      </c>
      <c r="J22" s="18">
        <v>180</v>
      </c>
      <c r="K22" s="18">
        <v>117</v>
      </c>
      <c r="L22" s="18">
        <v>198</v>
      </c>
      <c r="M22" s="18">
        <v>495</v>
      </c>
    </row>
    <row r="23" spans="1:13" x14ac:dyDescent="0.3">
      <c r="A23" t="s">
        <v>69</v>
      </c>
      <c r="B23" t="s">
        <v>30</v>
      </c>
      <c r="C23" s="7">
        <v>4</v>
      </c>
      <c r="D23" s="7">
        <v>4</v>
      </c>
      <c r="E23" s="7">
        <v>0</v>
      </c>
      <c r="F23" s="7">
        <v>8</v>
      </c>
      <c r="H23" t="s">
        <v>69</v>
      </c>
      <c r="I23" t="s">
        <v>30</v>
      </c>
      <c r="J23" s="18">
        <v>20</v>
      </c>
      <c r="K23" s="18">
        <v>20</v>
      </c>
      <c r="L23" s="18">
        <v>0</v>
      </c>
      <c r="M23" s="18">
        <v>40</v>
      </c>
    </row>
    <row r="24" spans="1:13" x14ac:dyDescent="0.3">
      <c r="A24" t="s">
        <v>60</v>
      </c>
      <c r="B24" t="s">
        <v>23</v>
      </c>
      <c r="C24" s="7">
        <v>0</v>
      </c>
      <c r="D24" s="7">
        <v>10</v>
      </c>
      <c r="E24" s="7">
        <v>0</v>
      </c>
      <c r="F24" s="7">
        <v>10</v>
      </c>
      <c r="H24" t="s">
        <v>60</v>
      </c>
      <c r="I24" t="s">
        <v>23</v>
      </c>
      <c r="J24" s="18">
        <v>0</v>
      </c>
      <c r="K24" s="18">
        <v>50</v>
      </c>
      <c r="L24" s="18">
        <v>0</v>
      </c>
      <c r="M24" s="18">
        <v>50</v>
      </c>
    </row>
    <row r="25" spans="1:13" x14ac:dyDescent="0.3">
      <c r="A25" t="s">
        <v>150</v>
      </c>
      <c r="C25" s="7">
        <v>253</v>
      </c>
      <c r="D25" s="7">
        <v>264</v>
      </c>
      <c r="E25" s="7">
        <v>233</v>
      </c>
      <c r="F25" s="7">
        <v>750</v>
      </c>
      <c r="H25" t="s">
        <v>150</v>
      </c>
      <c r="J25" s="18">
        <v>1979</v>
      </c>
      <c r="K25" s="18">
        <v>1950</v>
      </c>
      <c r="L25" s="18">
        <v>1856.5</v>
      </c>
      <c r="M25" s="18">
        <v>5785.5</v>
      </c>
    </row>
  </sheetData>
  <conditionalFormatting pivot="1" sqref="C5:E5 C6:E6 C7:E7 C8:E8 C9:E9 C10:E10 C11:E11 C12:E12 C13:E13 C14:E14 C15:E15 C16:E16 C17:E17 C18:E18 C19:E19 C20:E20 C21:E21 C22:E22 C23:E23 C24:E2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G86"/>
  <sheetViews>
    <sheetView workbookViewId="0">
      <selection activeCell="K60" sqref="K60"/>
    </sheetView>
  </sheetViews>
  <sheetFormatPr defaultRowHeight="14.4" x14ac:dyDescent="0.3"/>
  <cols>
    <col min="2" max="2" width="9.21875" customWidth="1"/>
    <col min="3" max="3" width="11.33203125" style="14" bestFit="1" customWidth="1"/>
    <col min="4" max="4" width="11.33203125" customWidth="1"/>
    <col min="6" max="6" width="10.21875" customWidth="1"/>
    <col min="7" max="7" width="12.5546875" bestFit="1" customWidth="1"/>
  </cols>
  <sheetData>
    <row r="3" spans="2:7" x14ac:dyDescent="0.3">
      <c r="B3" s="4" t="s">
        <v>71</v>
      </c>
      <c r="C3" s="13" t="s">
        <v>72</v>
      </c>
      <c r="D3" s="4" t="s">
        <v>1</v>
      </c>
      <c r="E3" s="4" t="s">
        <v>0</v>
      </c>
      <c r="F3" s="4" t="s">
        <v>73</v>
      </c>
      <c r="G3" s="4" t="s">
        <v>74</v>
      </c>
    </row>
    <row r="4" spans="2:7" x14ac:dyDescent="0.3">
      <c r="B4" t="s">
        <v>75</v>
      </c>
      <c r="C4" s="14">
        <v>46053</v>
      </c>
      <c r="D4" t="s">
        <v>9</v>
      </c>
      <c r="E4" t="s">
        <v>8</v>
      </c>
      <c r="F4">
        <v>50</v>
      </c>
      <c r="G4" t="s">
        <v>76</v>
      </c>
    </row>
    <row r="5" spans="2:7" x14ac:dyDescent="0.3">
      <c r="B5" t="s">
        <v>77</v>
      </c>
      <c r="C5" s="14">
        <v>46053</v>
      </c>
      <c r="D5" t="s">
        <v>9</v>
      </c>
      <c r="E5" t="s">
        <v>10</v>
      </c>
      <c r="F5">
        <v>30</v>
      </c>
      <c r="G5" t="s">
        <v>76</v>
      </c>
    </row>
    <row r="6" spans="2:7" x14ac:dyDescent="0.3">
      <c r="B6" t="s">
        <v>78</v>
      </c>
      <c r="C6" s="14">
        <v>46053</v>
      </c>
      <c r="D6" t="s">
        <v>9</v>
      </c>
      <c r="E6" t="s">
        <v>11</v>
      </c>
      <c r="F6">
        <v>40</v>
      </c>
      <c r="G6" t="s">
        <v>76</v>
      </c>
    </row>
    <row r="7" spans="2:7" x14ac:dyDescent="0.3">
      <c r="B7" t="s">
        <v>79</v>
      </c>
      <c r="C7" s="14">
        <v>46053</v>
      </c>
      <c r="D7" t="s">
        <v>12</v>
      </c>
      <c r="E7" t="s">
        <v>8</v>
      </c>
      <c r="F7">
        <v>12</v>
      </c>
      <c r="G7" t="s">
        <v>76</v>
      </c>
    </row>
    <row r="8" spans="2:7" x14ac:dyDescent="0.3">
      <c r="B8" t="s">
        <v>80</v>
      </c>
      <c r="C8" s="14">
        <v>46053</v>
      </c>
      <c r="D8" t="s">
        <v>12</v>
      </c>
      <c r="E8" t="s">
        <v>10</v>
      </c>
      <c r="F8">
        <v>20</v>
      </c>
      <c r="G8" t="s">
        <v>76</v>
      </c>
    </row>
    <row r="9" spans="2:7" x14ac:dyDescent="0.3">
      <c r="B9" t="s">
        <v>81</v>
      </c>
      <c r="C9" s="14">
        <v>46053</v>
      </c>
      <c r="D9" t="s">
        <v>12</v>
      </c>
      <c r="E9" t="s">
        <v>11</v>
      </c>
      <c r="F9">
        <v>14</v>
      </c>
      <c r="G9" t="s">
        <v>76</v>
      </c>
    </row>
    <row r="10" spans="2:7" x14ac:dyDescent="0.3">
      <c r="B10" t="s">
        <v>82</v>
      </c>
      <c r="C10" s="14">
        <v>46053</v>
      </c>
      <c r="D10" t="s">
        <v>13</v>
      </c>
      <c r="E10" t="s">
        <v>8</v>
      </c>
      <c r="F10">
        <v>25</v>
      </c>
      <c r="G10" t="s">
        <v>76</v>
      </c>
    </row>
    <row r="11" spans="2:7" x14ac:dyDescent="0.3">
      <c r="B11" t="s">
        <v>83</v>
      </c>
      <c r="C11" s="14">
        <v>46053</v>
      </c>
      <c r="D11" t="s">
        <v>13</v>
      </c>
      <c r="E11" t="s">
        <v>10</v>
      </c>
      <c r="F11">
        <v>30</v>
      </c>
      <c r="G11" t="s">
        <v>76</v>
      </c>
    </row>
    <row r="12" spans="2:7" x14ac:dyDescent="0.3">
      <c r="B12" t="s">
        <v>84</v>
      </c>
      <c r="C12" s="14">
        <v>46053</v>
      </c>
      <c r="D12" t="s">
        <v>13</v>
      </c>
      <c r="E12" t="s">
        <v>11</v>
      </c>
      <c r="F12">
        <v>10</v>
      </c>
      <c r="G12" t="s">
        <v>76</v>
      </c>
    </row>
    <row r="13" spans="2:7" x14ac:dyDescent="0.3">
      <c r="B13" t="s">
        <v>85</v>
      </c>
      <c r="C13" s="14">
        <v>46053</v>
      </c>
      <c r="D13" t="s">
        <v>15</v>
      </c>
      <c r="E13" t="s">
        <v>8</v>
      </c>
      <c r="F13">
        <v>35</v>
      </c>
      <c r="G13" t="s">
        <v>76</v>
      </c>
    </row>
    <row r="14" spans="2:7" x14ac:dyDescent="0.3">
      <c r="B14" t="s">
        <v>86</v>
      </c>
      <c r="C14" s="14">
        <v>46053</v>
      </c>
      <c r="D14" t="s">
        <v>15</v>
      </c>
      <c r="E14" t="s">
        <v>10</v>
      </c>
      <c r="F14">
        <v>25</v>
      </c>
      <c r="G14" t="s">
        <v>76</v>
      </c>
    </row>
    <row r="15" spans="2:7" x14ac:dyDescent="0.3">
      <c r="B15" t="s">
        <v>87</v>
      </c>
      <c r="C15" s="14">
        <v>46053</v>
      </c>
      <c r="D15" t="s">
        <v>15</v>
      </c>
      <c r="E15" t="s">
        <v>11</v>
      </c>
      <c r="F15">
        <v>18</v>
      </c>
      <c r="G15" t="s">
        <v>76</v>
      </c>
    </row>
    <row r="16" spans="2:7" x14ac:dyDescent="0.3">
      <c r="B16" t="s">
        <v>88</v>
      </c>
      <c r="C16" s="14">
        <v>46053</v>
      </c>
      <c r="D16" t="s">
        <v>16</v>
      </c>
      <c r="E16" t="s">
        <v>8</v>
      </c>
      <c r="F16">
        <v>60</v>
      </c>
      <c r="G16" t="s">
        <v>76</v>
      </c>
    </row>
    <row r="17" spans="2:7" x14ac:dyDescent="0.3">
      <c r="B17" t="s">
        <v>89</v>
      </c>
      <c r="C17" s="14">
        <v>46053</v>
      </c>
      <c r="D17" t="s">
        <v>16</v>
      </c>
      <c r="E17" t="s">
        <v>10</v>
      </c>
      <c r="F17">
        <v>50</v>
      </c>
      <c r="G17" t="s">
        <v>76</v>
      </c>
    </row>
    <row r="18" spans="2:7" x14ac:dyDescent="0.3">
      <c r="B18" t="s">
        <v>90</v>
      </c>
      <c r="C18" s="14">
        <v>46053</v>
      </c>
      <c r="D18" t="s">
        <v>16</v>
      </c>
      <c r="E18" t="s">
        <v>11</v>
      </c>
      <c r="F18">
        <v>35</v>
      </c>
      <c r="G18" t="s">
        <v>76</v>
      </c>
    </row>
    <row r="19" spans="2:7" x14ac:dyDescent="0.3">
      <c r="B19" t="s">
        <v>91</v>
      </c>
      <c r="C19" s="14">
        <v>46053</v>
      </c>
      <c r="D19" t="s">
        <v>17</v>
      </c>
      <c r="E19" t="s">
        <v>8</v>
      </c>
      <c r="F19">
        <v>20</v>
      </c>
      <c r="G19" t="s">
        <v>76</v>
      </c>
    </row>
    <row r="20" spans="2:7" x14ac:dyDescent="0.3">
      <c r="B20" t="s">
        <v>92</v>
      </c>
      <c r="C20" s="14">
        <v>46053</v>
      </c>
      <c r="D20" t="s">
        <v>17</v>
      </c>
      <c r="E20" t="s">
        <v>10</v>
      </c>
      <c r="F20">
        <v>15</v>
      </c>
      <c r="G20" t="s">
        <v>76</v>
      </c>
    </row>
    <row r="21" spans="2:7" x14ac:dyDescent="0.3">
      <c r="B21" t="s">
        <v>93</v>
      </c>
      <c r="C21" s="14">
        <v>46053</v>
      </c>
      <c r="D21" t="s">
        <v>17</v>
      </c>
      <c r="E21" t="s">
        <v>11</v>
      </c>
      <c r="F21">
        <v>10</v>
      </c>
      <c r="G21" t="s">
        <v>76</v>
      </c>
    </row>
    <row r="22" spans="2:7" x14ac:dyDescent="0.3">
      <c r="B22" t="s">
        <v>94</v>
      </c>
      <c r="C22" s="14">
        <v>46053</v>
      </c>
      <c r="D22" t="s">
        <v>18</v>
      </c>
      <c r="E22" t="s">
        <v>8</v>
      </c>
      <c r="F22">
        <v>25</v>
      </c>
      <c r="G22" t="s">
        <v>76</v>
      </c>
    </row>
    <row r="23" spans="2:7" x14ac:dyDescent="0.3">
      <c r="B23" t="s">
        <v>95</v>
      </c>
      <c r="C23" s="14">
        <v>46053</v>
      </c>
      <c r="D23" t="s">
        <v>18</v>
      </c>
      <c r="E23" t="s">
        <v>10</v>
      </c>
      <c r="F23">
        <v>25</v>
      </c>
      <c r="G23" t="s">
        <v>76</v>
      </c>
    </row>
    <row r="24" spans="2:7" x14ac:dyDescent="0.3">
      <c r="B24" t="s">
        <v>96</v>
      </c>
      <c r="C24" s="14">
        <v>46053</v>
      </c>
      <c r="D24" t="s">
        <v>19</v>
      </c>
      <c r="E24" t="s">
        <v>8</v>
      </c>
      <c r="F24">
        <v>3</v>
      </c>
      <c r="G24" t="s">
        <v>76</v>
      </c>
    </row>
    <row r="25" spans="2:7" x14ac:dyDescent="0.3">
      <c r="B25" t="s">
        <v>97</v>
      </c>
      <c r="C25" s="14">
        <v>46053</v>
      </c>
      <c r="D25" t="s">
        <v>19</v>
      </c>
      <c r="E25" t="s">
        <v>10</v>
      </c>
      <c r="F25">
        <v>10</v>
      </c>
      <c r="G25" t="s">
        <v>76</v>
      </c>
    </row>
    <row r="26" spans="2:7" x14ac:dyDescent="0.3">
      <c r="B26" t="s">
        <v>98</v>
      </c>
      <c r="C26" s="14">
        <v>46053</v>
      </c>
      <c r="D26" t="s">
        <v>19</v>
      </c>
      <c r="E26" t="s">
        <v>11</v>
      </c>
      <c r="F26">
        <v>1</v>
      </c>
      <c r="G26" t="s">
        <v>76</v>
      </c>
    </row>
    <row r="27" spans="2:7" x14ac:dyDescent="0.3">
      <c r="B27" t="s">
        <v>99</v>
      </c>
      <c r="C27" s="14">
        <v>46053</v>
      </c>
      <c r="D27" t="s">
        <v>20</v>
      </c>
      <c r="E27" t="s">
        <v>8</v>
      </c>
      <c r="F27">
        <v>1</v>
      </c>
      <c r="G27" t="s">
        <v>76</v>
      </c>
    </row>
    <row r="28" spans="2:7" x14ac:dyDescent="0.3">
      <c r="B28" t="s">
        <v>100</v>
      </c>
      <c r="C28" s="14">
        <v>46053</v>
      </c>
      <c r="D28" t="s">
        <v>20</v>
      </c>
      <c r="E28" t="s">
        <v>10</v>
      </c>
      <c r="F28">
        <v>1</v>
      </c>
      <c r="G28" t="s">
        <v>76</v>
      </c>
    </row>
    <row r="29" spans="2:7" x14ac:dyDescent="0.3">
      <c r="B29" t="s">
        <v>101</v>
      </c>
      <c r="C29" s="14">
        <v>46053</v>
      </c>
      <c r="D29" t="s">
        <v>20</v>
      </c>
      <c r="E29" t="s">
        <v>11</v>
      </c>
      <c r="F29">
        <v>1</v>
      </c>
      <c r="G29" t="s">
        <v>76</v>
      </c>
    </row>
    <row r="30" spans="2:7" x14ac:dyDescent="0.3">
      <c r="B30" t="s">
        <v>102</v>
      </c>
      <c r="C30" s="14">
        <v>46053</v>
      </c>
      <c r="D30" t="s">
        <v>21</v>
      </c>
      <c r="E30" t="s">
        <v>8</v>
      </c>
      <c r="F30">
        <v>1</v>
      </c>
      <c r="G30" t="s">
        <v>76</v>
      </c>
    </row>
    <row r="31" spans="2:7" x14ac:dyDescent="0.3">
      <c r="B31" t="s">
        <v>103</v>
      </c>
      <c r="C31" s="14">
        <v>46053</v>
      </c>
      <c r="D31" t="s">
        <v>21</v>
      </c>
      <c r="E31" t="s">
        <v>10</v>
      </c>
      <c r="F31">
        <v>2</v>
      </c>
      <c r="G31" t="s">
        <v>76</v>
      </c>
    </row>
    <row r="32" spans="2:7" x14ac:dyDescent="0.3">
      <c r="B32" t="s">
        <v>104</v>
      </c>
      <c r="C32" s="14">
        <v>46053</v>
      </c>
      <c r="D32" t="s">
        <v>21</v>
      </c>
      <c r="E32" t="s">
        <v>11</v>
      </c>
      <c r="F32">
        <v>1</v>
      </c>
      <c r="G32" t="s">
        <v>76</v>
      </c>
    </row>
    <row r="33" spans="2:7" x14ac:dyDescent="0.3">
      <c r="B33" t="s">
        <v>105</v>
      </c>
      <c r="C33" s="14">
        <v>46053</v>
      </c>
      <c r="D33" t="s">
        <v>22</v>
      </c>
      <c r="E33" t="s">
        <v>8</v>
      </c>
      <c r="F33">
        <v>3</v>
      </c>
      <c r="G33" t="s">
        <v>76</v>
      </c>
    </row>
    <row r="34" spans="2:7" x14ac:dyDescent="0.3">
      <c r="B34" t="s">
        <v>106</v>
      </c>
      <c r="C34" s="14">
        <v>46053</v>
      </c>
      <c r="D34" t="s">
        <v>22</v>
      </c>
      <c r="E34" t="s">
        <v>10</v>
      </c>
      <c r="F34">
        <v>1</v>
      </c>
      <c r="G34" t="s">
        <v>76</v>
      </c>
    </row>
    <row r="35" spans="2:7" x14ac:dyDescent="0.3">
      <c r="B35" t="s">
        <v>107</v>
      </c>
      <c r="C35" s="14">
        <v>46053</v>
      </c>
      <c r="D35" t="s">
        <v>22</v>
      </c>
      <c r="E35" t="s">
        <v>11</v>
      </c>
      <c r="F35">
        <v>1</v>
      </c>
      <c r="G35" t="s">
        <v>76</v>
      </c>
    </row>
    <row r="36" spans="2:7" x14ac:dyDescent="0.3">
      <c r="B36" t="s">
        <v>108</v>
      </c>
      <c r="C36" s="14">
        <v>46053</v>
      </c>
      <c r="D36" t="s">
        <v>25</v>
      </c>
      <c r="E36" t="s">
        <v>8</v>
      </c>
      <c r="F36">
        <v>2</v>
      </c>
      <c r="G36" t="s">
        <v>76</v>
      </c>
    </row>
    <row r="37" spans="2:7" x14ac:dyDescent="0.3">
      <c r="B37" t="s">
        <v>109</v>
      </c>
      <c r="C37" s="14">
        <v>46053</v>
      </c>
      <c r="D37" t="s">
        <v>25</v>
      </c>
      <c r="E37" t="s">
        <v>10</v>
      </c>
      <c r="F37">
        <v>6</v>
      </c>
      <c r="G37" t="s">
        <v>76</v>
      </c>
    </row>
    <row r="38" spans="2:7" x14ac:dyDescent="0.3">
      <c r="B38" t="s">
        <v>110</v>
      </c>
      <c r="C38" s="14">
        <v>46053</v>
      </c>
      <c r="D38" t="s">
        <v>25</v>
      </c>
      <c r="E38" t="s">
        <v>11</v>
      </c>
      <c r="F38">
        <v>2</v>
      </c>
      <c r="G38" t="s">
        <v>76</v>
      </c>
    </row>
    <row r="39" spans="2:7" x14ac:dyDescent="0.3">
      <c r="B39" t="s">
        <v>111</v>
      </c>
      <c r="C39" s="14">
        <v>46053</v>
      </c>
      <c r="D39" t="s">
        <v>26</v>
      </c>
      <c r="E39" t="s">
        <v>8</v>
      </c>
      <c r="F39">
        <v>2</v>
      </c>
      <c r="G39" t="s">
        <v>76</v>
      </c>
    </row>
    <row r="40" spans="2:7" x14ac:dyDescent="0.3">
      <c r="B40" t="s">
        <v>112</v>
      </c>
      <c r="C40" s="14">
        <v>46053</v>
      </c>
      <c r="D40" t="s">
        <v>26</v>
      </c>
      <c r="E40" t="s">
        <v>10</v>
      </c>
      <c r="F40">
        <v>2</v>
      </c>
      <c r="G40" t="s">
        <v>76</v>
      </c>
    </row>
    <row r="41" spans="2:7" x14ac:dyDescent="0.3">
      <c r="B41" t="s">
        <v>113</v>
      </c>
      <c r="C41" s="14">
        <v>46053</v>
      </c>
      <c r="D41" t="s">
        <v>26</v>
      </c>
      <c r="E41" t="s">
        <v>11</v>
      </c>
      <c r="F41">
        <v>5</v>
      </c>
      <c r="G41" t="s">
        <v>76</v>
      </c>
    </row>
    <row r="42" spans="2:7" x14ac:dyDescent="0.3">
      <c r="B42" t="s">
        <v>114</v>
      </c>
      <c r="C42" s="14">
        <v>46053</v>
      </c>
      <c r="D42" t="s">
        <v>27</v>
      </c>
      <c r="E42" t="s">
        <v>8</v>
      </c>
      <c r="F42">
        <v>2</v>
      </c>
      <c r="G42" t="s">
        <v>76</v>
      </c>
    </row>
    <row r="43" spans="2:7" x14ac:dyDescent="0.3">
      <c r="B43" t="s">
        <v>115</v>
      </c>
      <c r="C43" s="14">
        <v>46053</v>
      </c>
      <c r="D43" t="s">
        <v>27</v>
      </c>
      <c r="E43" t="s">
        <v>10</v>
      </c>
      <c r="F43">
        <v>3</v>
      </c>
      <c r="G43" t="s">
        <v>76</v>
      </c>
    </row>
    <row r="44" spans="2:7" x14ac:dyDescent="0.3">
      <c r="B44" t="s">
        <v>116</v>
      </c>
      <c r="C44" s="14">
        <v>46053</v>
      </c>
      <c r="D44" t="s">
        <v>27</v>
      </c>
      <c r="E44" t="s">
        <v>11</v>
      </c>
      <c r="F44">
        <v>2</v>
      </c>
      <c r="G44" t="s">
        <v>76</v>
      </c>
    </row>
    <row r="45" spans="2:7" x14ac:dyDescent="0.3">
      <c r="B45" t="s">
        <v>117</v>
      </c>
      <c r="C45" s="14">
        <v>46053</v>
      </c>
      <c r="D45" t="s">
        <v>28</v>
      </c>
      <c r="E45" t="s">
        <v>8</v>
      </c>
      <c r="F45">
        <v>3</v>
      </c>
      <c r="G45" t="s">
        <v>76</v>
      </c>
    </row>
    <row r="46" spans="2:7" x14ac:dyDescent="0.3">
      <c r="B46" t="s">
        <v>118</v>
      </c>
      <c r="C46" s="14">
        <v>46053</v>
      </c>
      <c r="D46" t="s">
        <v>28</v>
      </c>
      <c r="E46" t="s">
        <v>10</v>
      </c>
      <c r="F46">
        <v>3</v>
      </c>
      <c r="G46" t="s">
        <v>76</v>
      </c>
    </row>
    <row r="47" spans="2:7" x14ac:dyDescent="0.3">
      <c r="B47" t="s">
        <v>119</v>
      </c>
      <c r="C47" s="14">
        <v>46053</v>
      </c>
      <c r="D47" t="s">
        <v>28</v>
      </c>
      <c r="E47" t="s">
        <v>11</v>
      </c>
      <c r="F47">
        <v>4</v>
      </c>
      <c r="G47" t="s">
        <v>76</v>
      </c>
    </row>
    <row r="48" spans="2:7" x14ac:dyDescent="0.3">
      <c r="B48" t="s">
        <v>120</v>
      </c>
      <c r="C48" s="14">
        <v>46053</v>
      </c>
      <c r="D48" t="s">
        <v>30</v>
      </c>
      <c r="E48" t="s">
        <v>8</v>
      </c>
      <c r="F48">
        <v>4</v>
      </c>
      <c r="G48" t="s">
        <v>76</v>
      </c>
    </row>
    <row r="49" spans="2:7" x14ac:dyDescent="0.3">
      <c r="B49" t="s">
        <v>121</v>
      </c>
      <c r="C49" s="14">
        <v>46053</v>
      </c>
      <c r="D49" t="s">
        <v>30</v>
      </c>
      <c r="E49" t="s">
        <v>10</v>
      </c>
      <c r="F49">
        <v>4</v>
      </c>
      <c r="G49" t="s">
        <v>76</v>
      </c>
    </row>
    <row r="50" spans="2:7" x14ac:dyDescent="0.3">
      <c r="B50" t="s">
        <v>122</v>
      </c>
      <c r="C50" s="14">
        <v>46053</v>
      </c>
      <c r="D50" t="s">
        <v>30</v>
      </c>
      <c r="E50" t="s">
        <v>11</v>
      </c>
      <c r="F50">
        <v>8</v>
      </c>
      <c r="G50" t="s">
        <v>76</v>
      </c>
    </row>
    <row r="51" spans="2:7" x14ac:dyDescent="0.3">
      <c r="B51" t="s">
        <v>123</v>
      </c>
      <c r="C51" s="14">
        <v>46053</v>
      </c>
      <c r="D51" t="s">
        <v>31</v>
      </c>
      <c r="E51" t="s">
        <v>8</v>
      </c>
      <c r="F51">
        <v>2</v>
      </c>
      <c r="G51" t="s">
        <v>76</v>
      </c>
    </row>
    <row r="52" spans="2:7" x14ac:dyDescent="0.3">
      <c r="B52" t="s">
        <v>124</v>
      </c>
      <c r="C52" s="14">
        <v>46053</v>
      </c>
      <c r="D52" t="s">
        <v>31</v>
      </c>
      <c r="E52" t="s">
        <v>10</v>
      </c>
      <c r="F52">
        <v>2</v>
      </c>
      <c r="G52" t="s">
        <v>76</v>
      </c>
    </row>
    <row r="53" spans="2:7" x14ac:dyDescent="0.3">
      <c r="B53" t="s">
        <v>125</v>
      </c>
      <c r="C53" s="14">
        <v>46053</v>
      </c>
      <c r="D53" t="s">
        <v>31</v>
      </c>
      <c r="E53" t="s">
        <v>11</v>
      </c>
      <c r="F53">
        <v>3</v>
      </c>
      <c r="G53" t="s">
        <v>76</v>
      </c>
    </row>
    <row r="54" spans="2:7" x14ac:dyDescent="0.3">
      <c r="B54" t="s">
        <v>126</v>
      </c>
      <c r="C54" s="14">
        <v>46054</v>
      </c>
      <c r="D54" t="s">
        <v>9</v>
      </c>
      <c r="E54" t="s">
        <v>8</v>
      </c>
      <c r="F54">
        <v>-2</v>
      </c>
      <c r="G54" t="s">
        <v>127</v>
      </c>
    </row>
    <row r="55" spans="2:7" x14ac:dyDescent="0.3">
      <c r="B55" t="s">
        <v>128</v>
      </c>
      <c r="C55" s="14">
        <v>46054</v>
      </c>
      <c r="D55" t="s">
        <v>15</v>
      </c>
      <c r="E55" t="s">
        <v>10</v>
      </c>
      <c r="F55">
        <v>-5</v>
      </c>
      <c r="G55" t="s">
        <v>127</v>
      </c>
    </row>
    <row r="56" spans="2:7" x14ac:dyDescent="0.3">
      <c r="B56" t="s">
        <v>129</v>
      </c>
      <c r="C56" s="14">
        <v>46054</v>
      </c>
      <c r="D56" t="s">
        <v>18</v>
      </c>
      <c r="E56" t="s">
        <v>11</v>
      </c>
      <c r="F56">
        <v>20</v>
      </c>
      <c r="G56" t="s">
        <v>130</v>
      </c>
    </row>
    <row r="57" spans="2:7" x14ac:dyDescent="0.3">
      <c r="B57" t="s">
        <v>131</v>
      </c>
      <c r="C57" s="14">
        <v>46055</v>
      </c>
      <c r="D57" t="s">
        <v>12</v>
      </c>
      <c r="E57" t="s">
        <v>8</v>
      </c>
      <c r="F57">
        <v>15</v>
      </c>
      <c r="G57" t="s">
        <v>130</v>
      </c>
    </row>
    <row r="58" spans="2:7" x14ac:dyDescent="0.3">
      <c r="B58" t="s">
        <v>132</v>
      </c>
      <c r="C58" s="14">
        <v>46055</v>
      </c>
      <c r="D58" t="s">
        <v>13</v>
      </c>
      <c r="E58" t="s">
        <v>8</v>
      </c>
      <c r="F58">
        <v>-3</v>
      </c>
      <c r="G58" t="s">
        <v>127</v>
      </c>
    </row>
    <row r="59" spans="2:7" x14ac:dyDescent="0.3">
      <c r="B59" t="s">
        <v>133</v>
      </c>
      <c r="C59" s="14">
        <v>46055</v>
      </c>
      <c r="D59" t="s">
        <v>21</v>
      </c>
      <c r="E59" t="s">
        <v>10</v>
      </c>
      <c r="F59">
        <v>-2</v>
      </c>
      <c r="G59" t="s">
        <v>127</v>
      </c>
    </row>
    <row r="60" spans="2:7" x14ac:dyDescent="0.3">
      <c r="B60" t="s">
        <v>134</v>
      </c>
      <c r="C60" s="14">
        <v>46056</v>
      </c>
      <c r="D60" t="s">
        <v>17</v>
      </c>
      <c r="E60" t="s">
        <v>10</v>
      </c>
      <c r="F60">
        <v>-2</v>
      </c>
      <c r="G60" t="s">
        <v>127</v>
      </c>
    </row>
    <row r="61" spans="2:7" x14ac:dyDescent="0.3">
      <c r="B61" t="s">
        <v>135</v>
      </c>
      <c r="C61" s="14">
        <v>46056</v>
      </c>
      <c r="D61" t="s">
        <v>20</v>
      </c>
      <c r="E61" t="s">
        <v>8</v>
      </c>
      <c r="F61">
        <v>-1</v>
      </c>
      <c r="G61" t="s">
        <v>127</v>
      </c>
    </row>
    <row r="62" spans="2:7" x14ac:dyDescent="0.3">
      <c r="B62" t="s">
        <v>136</v>
      </c>
      <c r="C62" s="14">
        <v>46056</v>
      </c>
      <c r="D62" t="s">
        <v>26</v>
      </c>
      <c r="E62" t="s">
        <v>11</v>
      </c>
      <c r="F62">
        <v>-4</v>
      </c>
      <c r="G62" t="s">
        <v>127</v>
      </c>
    </row>
    <row r="63" spans="2:7" x14ac:dyDescent="0.3">
      <c r="B63" t="s">
        <v>137</v>
      </c>
      <c r="C63" s="14">
        <v>46057</v>
      </c>
      <c r="D63" t="s">
        <v>23</v>
      </c>
      <c r="E63" t="s">
        <v>10</v>
      </c>
      <c r="F63">
        <v>10</v>
      </c>
      <c r="G63" t="s">
        <v>130</v>
      </c>
    </row>
    <row r="64" spans="2:7" x14ac:dyDescent="0.3">
      <c r="B64" t="s">
        <v>138</v>
      </c>
      <c r="C64" s="14">
        <v>46057</v>
      </c>
      <c r="D64" t="s">
        <v>28</v>
      </c>
      <c r="E64" t="s">
        <v>8</v>
      </c>
      <c r="F64">
        <v>-3</v>
      </c>
      <c r="G64" t="s">
        <v>127</v>
      </c>
    </row>
    <row r="65" spans="2:7" x14ac:dyDescent="0.3">
      <c r="B65" t="s">
        <v>139</v>
      </c>
      <c r="C65" s="14">
        <v>46057</v>
      </c>
      <c r="D65" t="s">
        <v>30</v>
      </c>
      <c r="E65" t="s">
        <v>11</v>
      </c>
      <c r="F65">
        <v>-6</v>
      </c>
      <c r="G65" t="s">
        <v>127</v>
      </c>
    </row>
    <row r="66" spans="2:7" x14ac:dyDescent="0.3">
      <c r="B66" t="s">
        <v>140</v>
      </c>
      <c r="C66" s="14">
        <v>46058</v>
      </c>
      <c r="D66" t="s">
        <v>25</v>
      </c>
      <c r="E66" t="s">
        <v>10</v>
      </c>
      <c r="F66">
        <v>-5</v>
      </c>
      <c r="G66" t="s">
        <v>127</v>
      </c>
    </row>
    <row r="67" spans="2:7" x14ac:dyDescent="0.3">
      <c r="B67" t="s">
        <v>141</v>
      </c>
      <c r="C67" s="14">
        <v>46058</v>
      </c>
      <c r="D67" t="s">
        <v>29</v>
      </c>
      <c r="E67" t="s">
        <v>8</v>
      </c>
      <c r="F67">
        <v>20</v>
      </c>
      <c r="G67" t="s">
        <v>130</v>
      </c>
    </row>
    <row r="68" spans="2:7" x14ac:dyDescent="0.3">
      <c r="B68" t="s">
        <v>142</v>
      </c>
      <c r="C68" s="14">
        <v>46058</v>
      </c>
      <c r="D68" t="s">
        <v>31</v>
      </c>
      <c r="E68" t="s">
        <v>11</v>
      </c>
      <c r="F68">
        <v>-2</v>
      </c>
      <c r="G68" t="s">
        <v>127</v>
      </c>
    </row>
    <row r="69" spans="2:7" x14ac:dyDescent="0.3">
      <c r="B69" t="s">
        <v>143</v>
      </c>
      <c r="C69" s="14">
        <v>46059</v>
      </c>
      <c r="D69" t="s">
        <v>16</v>
      </c>
      <c r="E69" t="s">
        <v>8</v>
      </c>
      <c r="F69">
        <v>-8</v>
      </c>
      <c r="G69" t="s">
        <v>127</v>
      </c>
    </row>
    <row r="70" spans="2:7" x14ac:dyDescent="0.3">
      <c r="B70" t="s">
        <v>144</v>
      </c>
      <c r="C70" s="14">
        <v>46059</v>
      </c>
      <c r="D70" t="s">
        <v>19</v>
      </c>
      <c r="E70" t="s">
        <v>10</v>
      </c>
      <c r="F70">
        <v>-7</v>
      </c>
      <c r="G70" t="s">
        <v>127</v>
      </c>
    </row>
    <row r="71" spans="2:7" x14ac:dyDescent="0.3">
      <c r="B71" t="s">
        <v>145</v>
      </c>
      <c r="C71" s="14">
        <v>46059</v>
      </c>
      <c r="D71" t="s">
        <v>24</v>
      </c>
      <c r="E71" t="s">
        <v>11</v>
      </c>
      <c r="F71">
        <v>15</v>
      </c>
      <c r="G71" t="s">
        <v>130</v>
      </c>
    </row>
    <row r="72" spans="2:7" x14ac:dyDescent="0.3">
      <c r="B72" t="s">
        <v>146</v>
      </c>
      <c r="C72" s="14">
        <v>46060</v>
      </c>
      <c r="D72" t="s">
        <v>22</v>
      </c>
      <c r="E72" t="s">
        <v>8</v>
      </c>
      <c r="F72">
        <v>-2</v>
      </c>
      <c r="G72" t="s">
        <v>127</v>
      </c>
    </row>
    <row r="73" spans="2:7" x14ac:dyDescent="0.3">
      <c r="B73" t="s">
        <v>147</v>
      </c>
      <c r="C73" s="14">
        <v>46060</v>
      </c>
      <c r="D73" t="s">
        <v>27</v>
      </c>
      <c r="E73" t="s">
        <v>10</v>
      </c>
      <c r="F73">
        <v>-3</v>
      </c>
      <c r="G73" t="s">
        <v>127</v>
      </c>
    </row>
    <row r="74" spans="2:7" x14ac:dyDescent="0.3">
      <c r="B74" t="s">
        <v>148</v>
      </c>
      <c r="C74" s="14">
        <v>46063</v>
      </c>
      <c r="D74" t="s">
        <v>12</v>
      </c>
      <c r="E74" t="s">
        <v>11</v>
      </c>
      <c r="F74">
        <v>15</v>
      </c>
      <c r="G74" t="s">
        <v>130</v>
      </c>
    </row>
    <row r="75" spans="2:7" x14ac:dyDescent="0.3">
      <c r="B75" t="s">
        <v>162</v>
      </c>
      <c r="C75" s="14">
        <v>46063</v>
      </c>
      <c r="D75" t="s">
        <v>22</v>
      </c>
      <c r="E75" t="s">
        <v>8</v>
      </c>
      <c r="F75">
        <v>10</v>
      </c>
      <c r="G75" t="s">
        <v>130</v>
      </c>
    </row>
    <row r="76" spans="2:7" x14ac:dyDescent="0.3">
      <c r="B76" t="s">
        <v>163</v>
      </c>
      <c r="C76" s="14">
        <v>46063</v>
      </c>
      <c r="D76" t="s">
        <v>24</v>
      </c>
      <c r="E76" t="s">
        <v>11</v>
      </c>
      <c r="F76">
        <v>20</v>
      </c>
      <c r="G76" t="s">
        <v>130</v>
      </c>
    </row>
    <row r="77" spans="2:7" x14ac:dyDescent="0.3">
      <c r="B77" t="s">
        <v>164</v>
      </c>
      <c r="C77" s="14">
        <v>46063</v>
      </c>
      <c r="D77" t="s">
        <v>31</v>
      </c>
      <c r="E77" t="s">
        <v>11</v>
      </c>
      <c r="F77">
        <v>10</v>
      </c>
      <c r="G77" t="s">
        <v>130</v>
      </c>
    </row>
    <row r="78" spans="2:7" x14ac:dyDescent="0.3">
      <c r="B78" t="s">
        <v>165</v>
      </c>
      <c r="C78" s="14">
        <v>46063</v>
      </c>
      <c r="D78" t="s">
        <v>21</v>
      </c>
      <c r="E78" t="s">
        <v>10</v>
      </c>
      <c r="F78">
        <v>10</v>
      </c>
      <c r="G78" t="s">
        <v>130</v>
      </c>
    </row>
    <row r="79" spans="2:7" x14ac:dyDescent="0.3">
      <c r="B79" t="s">
        <v>166</v>
      </c>
      <c r="C79" s="14">
        <v>46063</v>
      </c>
      <c r="D79" t="s">
        <v>24</v>
      </c>
      <c r="E79" t="s">
        <v>10</v>
      </c>
      <c r="F79">
        <v>20</v>
      </c>
      <c r="G79" t="s">
        <v>130</v>
      </c>
    </row>
    <row r="80" spans="2:7" x14ac:dyDescent="0.3">
      <c r="B80" t="s">
        <v>167</v>
      </c>
      <c r="C80" s="14">
        <v>46063</v>
      </c>
      <c r="D80" t="s">
        <v>17</v>
      </c>
      <c r="E80" t="s">
        <v>11</v>
      </c>
      <c r="F80">
        <v>12</v>
      </c>
      <c r="G80" t="s">
        <v>130</v>
      </c>
    </row>
    <row r="81" spans="2:7" x14ac:dyDescent="0.3">
      <c r="B81" t="s">
        <v>168</v>
      </c>
      <c r="C81" s="14">
        <v>46063</v>
      </c>
      <c r="D81" t="s">
        <v>21</v>
      </c>
      <c r="E81" t="s">
        <v>8</v>
      </c>
      <c r="F81">
        <v>10</v>
      </c>
      <c r="G81" t="s">
        <v>130</v>
      </c>
    </row>
    <row r="82" spans="2:7" x14ac:dyDescent="0.3">
      <c r="B82" t="s">
        <v>169</v>
      </c>
      <c r="C82" s="14">
        <v>46063</v>
      </c>
      <c r="D82" t="s">
        <v>24</v>
      </c>
      <c r="E82" t="s">
        <v>10</v>
      </c>
      <c r="F82">
        <v>20</v>
      </c>
      <c r="G82" t="s">
        <v>130</v>
      </c>
    </row>
    <row r="83" spans="2:7" x14ac:dyDescent="0.3">
      <c r="B83" t="s">
        <v>170</v>
      </c>
      <c r="C83" s="14">
        <v>46063</v>
      </c>
      <c r="D83" t="s">
        <v>16</v>
      </c>
      <c r="E83" t="s">
        <v>8</v>
      </c>
      <c r="F83">
        <v>-25</v>
      </c>
      <c r="G83" t="s">
        <v>127</v>
      </c>
    </row>
    <row r="84" spans="2:7" x14ac:dyDescent="0.3">
      <c r="B84" t="s">
        <v>171</v>
      </c>
      <c r="C84" s="14">
        <v>46063</v>
      </c>
      <c r="D84" t="s">
        <v>25</v>
      </c>
      <c r="E84" t="s">
        <v>10</v>
      </c>
      <c r="F84">
        <v>-1</v>
      </c>
      <c r="G84" t="s">
        <v>127</v>
      </c>
    </row>
    <row r="85" spans="2:7" x14ac:dyDescent="0.3">
      <c r="B85" t="s">
        <v>172</v>
      </c>
      <c r="C85" s="14">
        <v>46063</v>
      </c>
      <c r="D85" t="s">
        <v>30</v>
      </c>
      <c r="E85" t="s">
        <v>11</v>
      </c>
      <c r="F85">
        <v>-2</v>
      </c>
      <c r="G85" t="s">
        <v>127</v>
      </c>
    </row>
    <row r="86" spans="2:7" x14ac:dyDescent="0.3">
      <c r="B86" t="s">
        <v>173</v>
      </c>
      <c r="C86" s="14">
        <v>46063</v>
      </c>
      <c r="D86" t="s">
        <v>12</v>
      </c>
      <c r="E86" t="s">
        <v>8</v>
      </c>
      <c r="F86">
        <v>-8</v>
      </c>
      <c r="G86" t="s">
        <v>127</v>
      </c>
    </row>
  </sheetData>
  <dataValidations count="1">
    <dataValidation type="list" allowBlank="1" showInputMessage="1" showErrorMessage="1" sqref="D4:D86">
      <formula1>ProductList</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23"/>
  <sheetViews>
    <sheetView workbookViewId="0">
      <selection activeCell="G16" sqref="G16"/>
    </sheetView>
  </sheetViews>
  <sheetFormatPr defaultRowHeight="14.4" customHeight="1" x14ac:dyDescent="0.3"/>
  <cols>
    <col min="1" max="1" width="11.6640625" bestFit="1" customWidth="1"/>
    <col min="2" max="2" width="22.33203125" bestFit="1" customWidth="1"/>
    <col min="3" max="3" width="13.6640625" bestFit="1" customWidth="1"/>
    <col min="4" max="4" width="11.33203125" bestFit="1" customWidth="1"/>
    <col min="5" max="5" width="14.21875" bestFit="1" customWidth="1"/>
    <col min="6" max="6" width="18.6640625" bestFit="1" customWidth="1"/>
  </cols>
  <sheetData>
    <row r="3" spans="1:6" ht="14.4" customHeight="1" x14ac:dyDescent="0.3">
      <c r="A3" s="2" t="s">
        <v>1</v>
      </c>
      <c r="B3" s="2" t="s">
        <v>32</v>
      </c>
      <c r="C3" s="2" t="s">
        <v>33</v>
      </c>
      <c r="D3" s="2" t="s">
        <v>2</v>
      </c>
      <c r="E3" s="2" t="s">
        <v>34</v>
      </c>
      <c r="F3" s="2" t="s">
        <v>35</v>
      </c>
    </row>
    <row r="4" spans="1:6" ht="14.4" customHeight="1" x14ac:dyDescent="0.3">
      <c r="A4" s="3" t="s">
        <v>9</v>
      </c>
      <c r="B4" s="3" t="s">
        <v>36</v>
      </c>
      <c r="C4" s="3" t="s">
        <v>37</v>
      </c>
      <c r="D4" s="19">
        <v>8.5</v>
      </c>
      <c r="E4" s="3">
        <v>20</v>
      </c>
      <c r="F4" s="3" t="s">
        <v>38</v>
      </c>
    </row>
    <row r="5" spans="1:6" ht="14.4" customHeight="1" x14ac:dyDescent="0.3">
      <c r="A5" s="3" t="s">
        <v>12</v>
      </c>
      <c r="B5" s="3" t="s">
        <v>39</v>
      </c>
      <c r="C5" s="3" t="s">
        <v>40</v>
      </c>
      <c r="D5" s="19">
        <v>12</v>
      </c>
      <c r="E5" s="3">
        <v>15</v>
      </c>
      <c r="F5" s="3" t="s">
        <v>41</v>
      </c>
    </row>
    <row r="6" spans="1:6" ht="14.4" customHeight="1" x14ac:dyDescent="0.3">
      <c r="A6" s="3" t="s">
        <v>13</v>
      </c>
      <c r="B6" s="3" t="s">
        <v>42</v>
      </c>
      <c r="C6" s="3" t="s">
        <v>43</v>
      </c>
      <c r="D6" s="19">
        <v>6</v>
      </c>
      <c r="E6" s="3">
        <v>10</v>
      </c>
      <c r="F6" s="3" t="s">
        <v>44</v>
      </c>
    </row>
    <row r="7" spans="1:6" ht="14.4" customHeight="1" x14ac:dyDescent="0.3">
      <c r="A7" s="3" t="s">
        <v>15</v>
      </c>
      <c r="B7" s="3" t="s">
        <v>45</v>
      </c>
      <c r="C7" s="3" t="s">
        <v>40</v>
      </c>
      <c r="D7" s="19">
        <v>5.5</v>
      </c>
      <c r="E7" s="3">
        <v>25</v>
      </c>
      <c r="F7" s="3" t="s">
        <v>46</v>
      </c>
    </row>
    <row r="8" spans="1:6" ht="14.4" customHeight="1" x14ac:dyDescent="0.3">
      <c r="A8" s="3" t="s">
        <v>16</v>
      </c>
      <c r="B8" s="3" t="s">
        <v>47</v>
      </c>
      <c r="C8" s="3" t="s">
        <v>48</v>
      </c>
      <c r="D8" s="19">
        <v>3</v>
      </c>
      <c r="E8" s="3">
        <v>30</v>
      </c>
      <c r="F8" s="3" t="s">
        <v>49</v>
      </c>
    </row>
    <row r="9" spans="1:6" ht="14.4" customHeight="1" x14ac:dyDescent="0.3">
      <c r="A9" s="3" t="s">
        <v>17</v>
      </c>
      <c r="B9" s="3" t="s">
        <v>50</v>
      </c>
      <c r="C9" s="3" t="s">
        <v>43</v>
      </c>
      <c r="D9" s="19">
        <v>9</v>
      </c>
      <c r="E9" s="3">
        <v>12</v>
      </c>
      <c r="F9" s="3" t="s">
        <v>44</v>
      </c>
    </row>
    <row r="10" spans="1:6" ht="14.4" customHeight="1" x14ac:dyDescent="0.3">
      <c r="A10" s="3" t="s">
        <v>18</v>
      </c>
      <c r="B10" s="3" t="s">
        <v>51</v>
      </c>
      <c r="C10" s="3" t="s">
        <v>52</v>
      </c>
      <c r="D10" s="19">
        <v>15</v>
      </c>
      <c r="E10" s="3">
        <v>20</v>
      </c>
      <c r="F10" s="3" t="s">
        <v>53</v>
      </c>
    </row>
    <row r="11" spans="1:6" ht="14.4" customHeight="1" x14ac:dyDescent="0.3">
      <c r="A11" s="3" t="s">
        <v>19</v>
      </c>
      <c r="B11" s="3" t="s">
        <v>54</v>
      </c>
      <c r="C11" s="3" t="s">
        <v>40</v>
      </c>
      <c r="D11" s="19">
        <v>4.5</v>
      </c>
      <c r="E11" s="3">
        <v>25</v>
      </c>
      <c r="F11" s="3" t="s">
        <v>46</v>
      </c>
    </row>
    <row r="12" spans="1:6" ht="14.4" customHeight="1" x14ac:dyDescent="0.3">
      <c r="A12" s="3" t="s">
        <v>20</v>
      </c>
      <c r="B12" s="3" t="s">
        <v>55</v>
      </c>
      <c r="C12" s="3" t="s">
        <v>52</v>
      </c>
      <c r="D12" s="19">
        <v>10</v>
      </c>
      <c r="E12" s="3">
        <v>8</v>
      </c>
      <c r="F12" s="3" t="s">
        <v>56</v>
      </c>
    </row>
    <row r="13" spans="1:6" ht="14.4" customHeight="1" x14ac:dyDescent="0.3">
      <c r="A13" s="3" t="s">
        <v>21</v>
      </c>
      <c r="B13" s="3" t="s">
        <v>57</v>
      </c>
      <c r="C13" s="3" t="s">
        <v>52</v>
      </c>
      <c r="D13" s="19">
        <v>11.5</v>
      </c>
      <c r="E13" s="3">
        <v>10</v>
      </c>
      <c r="F13" s="3" t="s">
        <v>58</v>
      </c>
    </row>
    <row r="14" spans="1:6" ht="14.4" customHeight="1" x14ac:dyDescent="0.3">
      <c r="A14" s="3" t="s">
        <v>22</v>
      </c>
      <c r="B14" s="3" t="s">
        <v>59</v>
      </c>
      <c r="C14" s="3" t="s">
        <v>52</v>
      </c>
      <c r="D14" s="19">
        <v>7.5</v>
      </c>
      <c r="E14" s="3">
        <v>18</v>
      </c>
      <c r="F14" s="3" t="s">
        <v>58</v>
      </c>
    </row>
    <row r="15" spans="1:6" ht="14.4" customHeight="1" x14ac:dyDescent="0.3">
      <c r="A15" s="3" t="s">
        <v>23</v>
      </c>
      <c r="B15" s="3" t="s">
        <v>60</v>
      </c>
      <c r="C15" s="3" t="s">
        <v>52</v>
      </c>
      <c r="D15" s="19">
        <v>5</v>
      </c>
      <c r="E15" s="3">
        <v>15</v>
      </c>
      <c r="F15" s="3" t="s">
        <v>61</v>
      </c>
    </row>
    <row r="16" spans="1:6" ht="14.4" customHeight="1" x14ac:dyDescent="0.3">
      <c r="A16" s="3" t="s">
        <v>24</v>
      </c>
      <c r="B16" s="3" t="s">
        <v>62</v>
      </c>
      <c r="C16" s="3" t="s">
        <v>37</v>
      </c>
      <c r="D16" s="19">
        <v>6.5</v>
      </c>
      <c r="E16" s="3">
        <v>20</v>
      </c>
      <c r="F16" s="3" t="s">
        <v>38</v>
      </c>
    </row>
    <row r="17" spans="1:6" ht="14.4" customHeight="1" x14ac:dyDescent="0.3">
      <c r="A17" s="3" t="s">
        <v>25</v>
      </c>
      <c r="B17" s="3" t="s">
        <v>63</v>
      </c>
      <c r="C17" s="3" t="s">
        <v>40</v>
      </c>
      <c r="D17" s="19">
        <v>7</v>
      </c>
      <c r="E17" s="3">
        <v>12</v>
      </c>
      <c r="F17" s="3" t="s">
        <v>64</v>
      </c>
    </row>
    <row r="18" spans="1:6" ht="14.4" customHeight="1" x14ac:dyDescent="0.3">
      <c r="A18" s="3" t="s">
        <v>26</v>
      </c>
      <c r="B18" s="3" t="s">
        <v>65</v>
      </c>
      <c r="C18" s="3" t="s">
        <v>48</v>
      </c>
      <c r="D18" s="19">
        <v>4</v>
      </c>
      <c r="E18" s="3">
        <v>15</v>
      </c>
      <c r="F18" s="3" t="s">
        <v>49</v>
      </c>
    </row>
    <row r="19" spans="1:6" ht="14.4" customHeight="1" x14ac:dyDescent="0.3">
      <c r="A19" s="3" t="s">
        <v>27</v>
      </c>
      <c r="B19" s="3" t="s">
        <v>66</v>
      </c>
      <c r="C19" s="3" t="s">
        <v>43</v>
      </c>
      <c r="D19" s="19">
        <v>6.5</v>
      </c>
      <c r="E19" s="3">
        <v>10</v>
      </c>
      <c r="F19" s="3" t="s">
        <v>44</v>
      </c>
    </row>
    <row r="20" spans="1:6" ht="14.4" customHeight="1" x14ac:dyDescent="0.3">
      <c r="A20" s="3" t="s">
        <v>28</v>
      </c>
      <c r="B20" s="3" t="s">
        <v>67</v>
      </c>
      <c r="C20" s="3" t="s">
        <v>52</v>
      </c>
      <c r="D20" s="19">
        <v>8</v>
      </c>
      <c r="E20" s="3">
        <v>12</v>
      </c>
      <c r="F20" s="3" t="s">
        <v>53</v>
      </c>
    </row>
    <row r="21" spans="1:6" ht="14.4" customHeight="1" x14ac:dyDescent="0.3">
      <c r="A21" s="3" t="s">
        <v>29</v>
      </c>
      <c r="B21" s="3" t="s">
        <v>68</v>
      </c>
      <c r="C21" s="3" t="s">
        <v>48</v>
      </c>
      <c r="D21" s="19">
        <v>4.5</v>
      </c>
      <c r="E21" s="3">
        <v>20</v>
      </c>
      <c r="F21" s="3" t="s">
        <v>49</v>
      </c>
    </row>
    <row r="22" spans="1:6" ht="14.4" customHeight="1" x14ac:dyDescent="0.3">
      <c r="A22" s="3" t="s">
        <v>30</v>
      </c>
      <c r="B22" s="3" t="s">
        <v>69</v>
      </c>
      <c r="C22" s="3" t="s">
        <v>40</v>
      </c>
      <c r="D22" s="19">
        <v>5</v>
      </c>
      <c r="E22" s="3">
        <v>25</v>
      </c>
      <c r="F22" s="3" t="s">
        <v>46</v>
      </c>
    </row>
    <row r="23" spans="1:6" ht="14.4" customHeight="1" x14ac:dyDescent="0.3">
      <c r="A23" s="3" t="s">
        <v>31</v>
      </c>
      <c r="B23" s="3" t="s">
        <v>70</v>
      </c>
      <c r="C23" s="3" t="s">
        <v>43</v>
      </c>
      <c r="D23" s="19">
        <v>7.5</v>
      </c>
      <c r="E23" s="3">
        <v>10</v>
      </c>
      <c r="F23" s="3" t="s">
        <v>44</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selection activeCell="E18" sqref="E18"/>
    </sheetView>
  </sheetViews>
  <sheetFormatPr defaultRowHeight="14.4" x14ac:dyDescent="0.3"/>
  <cols>
    <col min="1" max="1" width="9.5546875" bestFit="1" customWidth="1"/>
    <col min="2" max="2" width="10.33203125" bestFit="1" customWidth="1"/>
    <col min="3" max="3" width="11.6640625" bestFit="1" customWidth="1"/>
    <col min="5" max="5" width="10.5546875" bestFit="1" customWidth="1"/>
    <col min="6" max="6" width="7.33203125" bestFit="1" customWidth="1"/>
  </cols>
  <sheetData>
    <row r="1" spans="1:6" x14ac:dyDescent="0.3">
      <c r="A1" t="s">
        <v>71</v>
      </c>
      <c r="B1" t="s">
        <v>72</v>
      </c>
      <c r="C1" t="s">
        <v>1</v>
      </c>
      <c r="D1" t="s">
        <v>0</v>
      </c>
      <c r="E1" t="s">
        <v>73</v>
      </c>
      <c r="F1" t="s">
        <v>74</v>
      </c>
    </row>
    <row r="2" spans="1:6" x14ac:dyDescent="0.3">
      <c r="A2" t="s">
        <v>162</v>
      </c>
      <c r="B2" s="1">
        <v>46063</v>
      </c>
      <c r="C2" t="s">
        <v>22</v>
      </c>
      <c r="D2" t="s">
        <v>8</v>
      </c>
      <c r="E2">
        <v>10</v>
      </c>
      <c r="F2" t="s">
        <v>130</v>
      </c>
    </row>
    <row r="3" spans="1:6" x14ac:dyDescent="0.3">
      <c r="A3" t="s">
        <v>163</v>
      </c>
      <c r="B3" s="1">
        <v>46063</v>
      </c>
      <c r="C3" t="s">
        <v>24</v>
      </c>
      <c r="D3" t="s">
        <v>11</v>
      </c>
      <c r="E3">
        <v>20</v>
      </c>
      <c r="F3" t="s">
        <v>130</v>
      </c>
    </row>
    <row r="4" spans="1:6" x14ac:dyDescent="0.3">
      <c r="A4" t="s">
        <v>164</v>
      </c>
      <c r="B4" s="1">
        <v>46063</v>
      </c>
      <c r="C4" t="s">
        <v>31</v>
      </c>
      <c r="D4" t="s">
        <v>11</v>
      </c>
      <c r="E4">
        <v>10</v>
      </c>
      <c r="F4" t="s">
        <v>130</v>
      </c>
    </row>
    <row r="5" spans="1:6" x14ac:dyDescent="0.3">
      <c r="A5" t="s">
        <v>165</v>
      </c>
      <c r="B5" s="1">
        <v>46063</v>
      </c>
      <c r="C5" t="s">
        <v>21</v>
      </c>
      <c r="D5" t="s">
        <v>10</v>
      </c>
      <c r="E5">
        <v>10</v>
      </c>
      <c r="F5" t="s">
        <v>130</v>
      </c>
    </row>
    <row r="6" spans="1:6" x14ac:dyDescent="0.3">
      <c r="A6" t="s">
        <v>166</v>
      </c>
      <c r="B6" s="1">
        <v>46063</v>
      </c>
      <c r="C6" t="s">
        <v>24</v>
      </c>
      <c r="D6" t="s">
        <v>10</v>
      </c>
      <c r="E6">
        <v>20</v>
      </c>
      <c r="F6" t="s">
        <v>130</v>
      </c>
    </row>
    <row r="7" spans="1:6" x14ac:dyDescent="0.3">
      <c r="A7" t="s">
        <v>167</v>
      </c>
      <c r="B7" s="1">
        <v>46063</v>
      </c>
      <c r="C7" t="s">
        <v>17</v>
      </c>
      <c r="D7" t="s">
        <v>11</v>
      </c>
      <c r="E7">
        <v>12</v>
      </c>
      <c r="F7" t="s">
        <v>130</v>
      </c>
    </row>
    <row r="8" spans="1:6" x14ac:dyDescent="0.3">
      <c r="A8" t="s">
        <v>168</v>
      </c>
      <c r="B8" s="1">
        <v>46063</v>
      </c>
      <c r="C8" t="s">
        <v>21</v>
      </c>
      <c r="D8" t="s">
        <v>8</v>
      </c>
      <c r="E8">
        <v>10</v>
      </c>
      <c r="F8" t="s">
        <v>130</v>
      </c>
    </row>
    <row r="9" spans="1:6" x14ac:dyDescent="0.3">
      <c r="A9" t="s">
        <v>169</v>
      </c>
      <c r="B9" s="1">
        <v>46063</v>
      </c>
      <c r="C9" t="s">
        <v>24</v>
      </c>
      <c r="D9" t="s">
        <v>10</v>
      </c>
      <c r="E9">
        <v>20</v>
      </c>
      <c r="F9" t="s">
        <v>130</v>
      </c>
    </row>
    <row r="10" spans="1:6" x14ac:dyDescent="0.3">
      <c r="A10" t="s">
        <v>170</v>
      </c>
      <c r="B10" s="1">
        <v>46063</v>
      </c>
      <c r="C10" t="s">
        <v>16</v>
      </c>
      <c r="D10" t="s">
        <v>8</v>
      </c>
      <c r="E10">
        <v>-25</v>
      </c>
      <c r="F10" t="s">
        <v>127</v>
      </c>
    </row>
    <row r="11" spans="1:6" x14ac:dyDescent="0.3">
      <c r="A11" t="s">
        <v>171</v>
      </c>
      <c r="B11" s="1">
        <v>46063</v>
      </c>
      <c r="C11" t="s">
        <v>25</v>
      </c>
      <c r="D11" t="s">
        <v>10</v>
      </c>
      <c r="E11">
        <v>-1</v>
      </c>
      <c r="F11" t="s">
        <v>127</v>
      </c>
    </row>
    <row r="12" spans="1:6" x14ac:dyDescent="0.3">
      <c r="A12" t="s">
        <v>172</v>
      </c>
      <c r="B12" s="1">
        <v>46063</v>
      </c>
      <c r="C12" t="s">
        <v>30</v>
      </c>
      <c r="D12" t="s">
        <v>11</v>
      </c>
      <c r="E12">
        <v>-2</v>
      </c>
      <c r="F12" t="s">
        <v>127</v>
      </c>
    </row>
    <row r="13" spans="1:6" x14ac:dyDescent="0.3">
      <c r="A13" t="s">
        <v>173</v>
      </c>
      <c r="B13" s="1">
        <v>46063</v>
      </c>
      <c r="C13" t="s">
        <v>12</v>
      </c>
      <c r="D13" t="s">
        <v>8</v>
      </c>
      <c r="E13">
        <v>-8</v>
      </c>
      <c r="F13" t="s">
        <v>127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Inventory</vt:lpstr>
      <vt:lpstr>Orders</vt:lpstr>
      <vt:lpstr>Reports</vt:lpstr>
      <vt:lpstr>Transactions</vt:lpstr>
      <vt:lpstr>Products Mastersheet</vt:lpstr>
      <vt:lpstr>New Data</vt:lpstr>
      <vt:lpstr>Product_Id</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Victus</dc:creator>
  <cp:lastModifiedBy>Victus</cp:lastModifiedBy>
  <dcterms:created xsi:type="dcterms:W3CDTF">2026-02-10T19:32:17Z</dcterms:created>
  <dcterms:modified xsi:type="dcterms:W3CDTF">2026-02-11T19:28:54Z</dcterms:modified>
</cp:coreProperties>
</file>